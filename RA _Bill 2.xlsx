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Files - Copy\GODREJ\Quantity\"/>
    </mc:Choice>
  </mc:AlternateContent>
  <xr:revisionPtr revIDLastSave="0" documentId="13_ncr:1_{D950EB0D-6A7E-4251-93CF-B0C7853D2A60}" xr6:coauthVersionLast="47" xr6:coauthVersionMax="47" xr10:uidLastSave="{00000000-0000-0000-0000-000000000000}"/>
  <bookViews>
    <workbookView xWindow="-110" yWindow="-110" windowWidth="22780" windowHeight="14540" activeTab="2" xr2:uid="{00000000-000D-0000-FFFF-FFFF00000000}"/>
  </bookViews>
  <sheets>
    <sheet name="Floor slab and beams" sheetId="1" r:id="rId1"/>
    <sheet name="Slab RCC" sheetId="8" r:id="rId2"/>
    <sheet name="Grade slab 8mm" sheetId="2" r:id="rId3"/>
    <sheet name="Grade Slab RCC" sheetId="6" r:id="rId4"/>
    <sheet name="Grade slab PCC" sheetId="7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01" i="1" l="1"/>
  <c r="O281" i="1"/>
  <c r="P281" i="1"/>
  <c r="Q281" i="1"/>
  <c r="R281" i="1"/>
  <c r="S281" i="1"/>
  <c r="T281" i="1"/>
  <c r="F282" i="1"/>
  <c r="S282" i="1" s="1"/>
  <c r="G282" i="1"/>
  <c r="H282" i="1"/>
  <c r="I282" i="1"/>
  <c r="J282" i="1"/>
  <c r="K282" i="1"/>
  <c r="O282" i="1"/>
  <c r="P282" i="1"/>
  <c r="Q282" i="1"/>
  <c r="R282" i="1"/>
  <c r="T282" i="1"/>
  <c r="F283" i="1"/>
  <c r="H283" i="1"/>
  <c r="G283" i="1" s="1"/>
  <c r="S283" i="1" s="1"/>
  <c r="I283" i="1"/>
  <c r="J283" i="1"/>
  <c r="K283" i="1"/>
  <c r="O283" i="1"/>
  <c r="P283" i="1"/>
  <c r="Q283" i="1"/>
  <c r="R283" i="1"/>
  <c r="T283" i="1"/>
  <c r="F284" i="1"/>
  <c r="G284" i="1"/>
  <c r="H284" i="1"/>
  <c r="I284" i="1"/>
  <c r="O284" i="1"/>
  <c r="P284" i="1"/>
  <c r="Q284" i="1"/>
  <c r="R284" i="1"/>
  <c r="S284" i="1"/>
  <c r="T284" i="1"/>
  <c r="F285" i="1"/>
  <c r="H285" i="1"/>
  <c r="G285" i="1" s="1"/>
  <c r="T285" i="1" s="1"/>
  <c r="I285" i="1"/>
  <c r="O285" i="1"/>
  <c r="P285" i="1"/>
  <c r="Q285" i="1"/>
  <c r="R285" i="1"/>
  <c r="S285" i="1"/>
  <c r="F286" i="1"/>
  <c r="H286" i="1"/>
  <c r="G286" i="1" s="1"/>
  <c r="T286" i="1" s="1"/>
  <c r="I286" i="1"/>
  <c r="O286" i="1"/>
  <c r="P286" i="1"/>
  <c r="Q286" i="1"/>
  <c r="R286" i="1"/>
  <c r="S286" i="1"/>
  <c r="F287" i="1"/>
  <c r="H287" i="1"/>
  <c r="G287" i="1" s="1"/>
  <c r="T287" i="1" s="1"/>
  <c r="I287" i="1"/>
  <c r="O287" i="1"/>
  <c r="P287" i="1"/>
  <c r="Q287" i="1"/>
  <c r="R287" i="1"/>
  <c r="S287" i="1"/>
  <c r="O217" i="1"/>
  <c r="P217" i="1"/>
  <c r="Q217" i="1"/>
  <c r="R217" i="1"/>
  <c r="S217" i="1"/>
  <c r="T217" i="1"/>
  <c r="H218" i="1"/>
  <c r="J218" i="1"/>
  <c r="O218" i="1"/>
  <c r="P218" i="1"/>
  <c r="R218" i="1"/>
  <c r="S218" i="1"/>
  <c r="T218" i="1"/>
  <c r="H219" i="1"/>
  <c r="G219" i="1" s="1"/>
  <c r="R219" i="1" s="1"/>
  <c r="J219" i="1"/>
  <c r="O219" i="1"/>
  <c r="P219" i="1"/>
  <c r="Q219" i="1"/>
  <c r="S219" i="1"/>
  <c r="T219" i="1"/>
  <c r="H220" i="1"/>
  <c r="J220" i="1"/>
  <c r="O220" i="1"/>
  <c r="P220" i="1"/>
  <c r="R220" i="1"/>
  <c r="S220" i="1"/>
  <c r="T220" i="1"/>
  <c r="H221" i="1"/>
  <c r="J221" i="1"/>
  <c r="O221" i="1"/>
  <c r="P221" i="1"/>
  <c r="Q221" i="1"/>
  <c r="S221" i="1"/>
  <c r="T221" i="1"/>
  <c r="F222" i="1"/>
  <c r="H222" i="1"/>
  <c r="I222" i="1"/>
  <c r="J222" i="1"/>
  <c r="K222" i="1"/>
  <c r="O222" i="1"/>
  <c r="P222" i="1"/>
  <c r="Q222" i="1"/>
  <c r="R222" i="1"/>
  <c r="S222" i="1"/>
  <c r="F223" i="1"/>
  <c r="H223" i="1"/>
  <c r="G223" i="1" s="1"/>
  <c r="I223" i="1"/>
  <c r="J223" i="1"/>
  <c r="K223" i="1"/>
  <c r="O223" i="1"/>
  <c r="P223" i="1"/>
  <c r="Q223" i="1"/>
  <c r="R223" i="1"/>
  <c r="S223" i="1"/>
  <c r="F224" i="1"/>
  <c r="H224" i="1"/>
  <c r="G224" i="1" s="1"/>
  <c r="T224" i="1" s="1"/>
  <c r="I224" i="1"/>
  <c r="J224" i="1"/>
  <c r="K224" i="1"/>
  <c r="O224" i="1"/>
  <c r="P224" i="1"/>
  <c r="Q224" i="1"/>
  <c r="R224" i="1"/>
  <c r="S224" i="1"/>
  <c r="H225" i="1"/>
  <c r="J225" i="1"/>
  <c r="O225" i="1"/>
  <c r="P225" i="1"/>
  <c r="Q225" i="1"/>
  <c r="R225" i="1"/>
  <c r="T225" i="1"/>
  <c r="O226" i="1"/>
  <c r="P226" i="1"/>
  <c r="Q226" i="1"/>
  <c r="R226" i="1"/>
  <c r="S226" i="1"/>
  <c r="T226" i="1"/>
  <c r="H227" i="1"/>
  <c r="J227" i="1"/>
  <c r="O227" i="1"/>
  <c r="P227" i="1"/>
  <c r="R227" i="1"/>
  <c r="S227" i="1"/>
  <c r="T227" i="1"/>
  <c r="H228" i="1"/>
  <c r="J228" i="1"/>
  <c r="O228" i="1"/>
  <c r="P228" i="1"/>
  <c r="Q228" i="1"/>
  <c r="S228" i="1"/>
  <c r="T228" i="1"/>
  <c r="H229" i="1"/>
  <c r="G229" i="1" s="1"/>
  <c r="Q229" i="1" s="1"/>
  <c r="J229" i="1"/>
  <c r="O229" i="1"/>
  <c r="P229" i="1"/>
  <c r="R229" i="1"/>
  <c r="S229" i="1"/>
  <c r="T229" i="1"/>
  <c r="H230" i="1"/>
  <c r="J230" i="1"/>
  <c r="G230" i="1" s="1"/>
  <c r="R230" i="1" s="1"/>
  <c r="O230" i="1"/>
  <c r="P230" i="1"/>
  <c r="Q230" i="1"/>
  <c r="S230" i="1"/>
  <c r="T230" i="1"/>
  <c r="F231" i="1"/>
  <c r="H231" i="1"/>
  <c r="I231" i="1"/>
  <c r="J231" i="1"/>
  <c r="K231" i="1"/>
  <c r="O231" i="1"/>
  <c r="P231" i="1"/>
  <c r="Q231" i="1"/>
  <c r="R231" i="1"/>
  <c r="S231" i="1"/>
  <c r="F232" i="1"/>
  <c r="H232" i="1"/>
  <c r="I232" i="1"/>
  <c r="J232" i="1"/>
  <c r="K232" i="1"/>
  <c r="O232" i="1"/>
  <c r="P232" i="1"/>
  <c r="Q232" i="1"/>
  <c r="R232" i="1"/>
  <c r="S232" i="1"/>
  <c r="F233" i="1"/>
  <c r="H233" i="1"/>
  <c r="G233" i="1" s="1"/>
  <c r="T233" i="1" s="1"/>
  <c r="I233" i="1"/>
  <c r="J233" i="1"/>
  <c r="K233" i="1"/>
  <c r="O233" i="1"/>
  <c r="P233" i="1"/>
  <c r="Q233" i="1"/>
  <c r="R233" i="1"/>
  <c r="S233" i="1"/>
  <c r="H234" i="1"/>
  <c r="G234" i="1" s="1"/>
  <c r="S234" i="1" s="1"/>
  <c r="J234" i="1"/>
  <c r="O234" i="1"/>
  <c r="P234" i="1"/>
  <c r="Q234" i="1"/>
  <c r="R234" i="1"/>
  <c r="T234" i="1"/>
  <c r="N300" i="1"/>
  <c r="N299" i="1"/>
  <c r="N298" i="1"/>
  <c r="N297" i="1"/>
  <c r="N296" i="1"/>
  <c r="O8" i="1"/>
  <c r="P8" i="1"/>
  <c r="R8" i="1"/>
  <c r="S8" i="1"/>
  <c r="T8" i="1"/>
  <c r="O9" i="1"/>
  <c r="Q9" i="1"/>
  <c r="R9" i="1"/>
  <c r="S9" i="1"/>
  <c r="T9" i="1"/>
  <c r="O10" i="1"/>
  <c r="P10" i="1"/>
  <c r="R10" i="1"/>
  <c r="S10" i="1"/>
  <c r="T10" i="1"/>
  <c r="O11" i="1"/>
  <c r="P11" i="1"/>
  <c r="Q11" i="1"/>
  <c r="R11" i="1"/>
  <c r="S11" i="1"/>
  <c r="O12" i="1"/>
  <c r="P12" i="1"/>
  <c r="Q12" i="1"/>
  <c r="R12" i="1"/>
  <c r="S12" i="1"/>
  <c r="O13" i="1"/>
  <c r="P13" i="1"/>
  <c r="Q13" i="1"/>
  <c r="R13" i="1"/>
  <c r="S13" i="1"/>
  <c r="O14" i="1"/>
  <c r="P14" i="1"/>
  <c r="Q14" i="1"/>
  <c r="R14" i="1"/>
  <c r="T14" i="1"/>
  <c r="O15" i="1"/>
  <c r="P15" i="1"/>
  <c r="Q15" i="1"/>
  <c r="R15" i="1"/>
  <c r="S15" i="1"/>
  <c r="T15" i="1"/>
  <c r="O16" i="1"/>
  <c r="Q16" i="1"/>
  <c r="R16" i="1"/>
  <c r="S16" i="1"/>
  <c r="T16" i="1"/>
  <c r="O17" i="1"/>
  <c r="P17" i="1"/>
  <c r="R17" i="1"/>
  <c r="S17" i="1"/>
  <c r="T17" i="1"/>
  <c r="O18" i="1"/>
  <c r="Q18" i="1"/>
  <c r="R18" i="1"/>
  <c r="S18" i="1"/>
  <c r="T18" i="1"/>
  <c r="O19" i="1"/>
  <c r="P19" i="1"/>
  <c r="R19" i="1"/>
  <c r="S19" i="1"/>
  <c r="T19" i="1"/>
  <c r="O20" i="1"/>
  <c r="Q20" i="1"/>
  <c r="R20" i="1"/>
  <c r="S20" i="1"/>
  <c r="T20" i="1"/>
  <c r="O21" i="1"/>
  <c r="P21" i="1"/>
  <c r="R21" i="1"/>
  <c r="S21" i="1"/>
  <c r="T21" i="1"/>
  <c r="O22" i="1"/>
  <c r="P22" i="1"/>
  <c r="Q22" i="1"/>
  <c r="R22" i="1"/>
  <c r="S22" i="1"/>
  <c r="O23" i="1"/>
  <c r="P23" i="1"/>
  <c r="Q23" i="1"/>
  <c r="R23" i="1"/>
  <c r="S23" i="1"/>
  <c r="O24" i="1"/>
  <c r="P24" i="1"/>
  <c r="Q24" i="1"/>
  <c r="R24" i="1"/>
  <c r="S24" i="1"/>
  <c r="O25" i="1"/>
  <c r="P25" i="1"/>
  <c r="Q25" i="1"/>
  <c r="R25" i="1"/>
  <c r="T25" i="1"/>
  <c r="O26" i="1"/>
  <c r="P26" i="1"/>
  <c r="Q26" i="1"/>
  <c r="R26" i="1"/>
  <c r="S26" i="1"/>
  <c r="T26" i="1"/>
  <c r="O27" i="1"/>
  <c r="Q27" i="1"/>
  <c r="R27" i="1"/>
  <c r="S27" i="1"/>
  <c r="T27" i="1"/>
  <c r="O28" i="1"/>
  <c r="P28" i="1"/>
  <c r="R28" i="1"/>
  <c r="S28" i="1"/>
  <c r="T28" i="1"/>
  <c r="O29" i="1"/>
  <c r="Q29" i="1"/>
  <c r="R29" i="1"/>
  <c r="S29" i="1"/>
  <c r="T29" i="1"/>
  <c r="O30" i="1"/>
  <c r="P30" i="1"/>
  <c r="R30" i="1"/>
  <c r="S30" i="1"/>
  <c r="T30" i="1"/>
  <c r="O31" i="1"/>
  <c r="Q31" i="1"/>
  <c r="R31" i="1"/>
  <c r="S31" i="1"/>
  <c r="T31" i="1"/>
  <c r="O32" i="1"/>
  <c r="P32" i="1"/>
  <c r="R32" i="1"/>
  <c r="S32" i="1"/>
  <c r="T32" i="1"/>
  <c r="O33" i="1"/>
  <c r="Q33" i="1"/>
  <c r="R33" i="1"/>
  <c r="S33" i="1"/>
  <c r="T33" i="1"/>
  <c r="O34" i="1"/>
  <c r="P34" i="1"/>
  <c r="R34" i="1"/>
  <c r="S34" i="1"/>
  <c r="T34" i="1"/>
  <c r="O35" i="1"/>
  <c r="P35" i="1"/>
  <c r="R35" i="1"/>
  <c r="S35" i="1"/>
  <c r="T35" i="1"/>
  <c r="O36" i="1"/>
  <c r="P36" i="1"/>
  <c r="Q36" i="1"/>
  <c r="R36" i="1"/>
  <c r="S36" i="1"/>
  <c r="O37" i="1"/>
  <c r="P37" i="1"/>
  <c r="Q37" i="1"/>
  <c r="R37" i="1"/>
  <c r="S37" i="1"/>
  <c r="O38" i="1"/>
  <c r="P38" i="1"/>
  <c r="Q38" i="1"/>
  <c r="R38" i="1"/>
  <c r="S38" i="1"/>
  <c r="O39" i="1"/>
  <c r="P39" i="1"/>
  <c r="Q39" i="1"/>
  <c r="R39" i="1"/>
  <c r="T39" i="1"/>
  <c r="O40" i="1"/>
  <c r="P40" i="1"/>
  <c r="Q40" i="1"/>
  <c r="R40" i="1"/>
  <c r="S40" i="1"/>
  <c r="T40" i="1"/>
  <c r="O41" i="1"/>
  <c r="Q41" i="1"/>
  <c r="R41" i="1"/>
  <c r="S41" i="1"/>
  <c r="T41" i="1"/>
  <c r="O42" i="1"/>
  <c r="P42" i="1"/>
  <c r="R42" i="1"/>
  <c r="S42" i="1"/>
  <c r="T42" i="1"/>
  <c r="O43" i="1"/>
  <c r="Q43" i="1"/>
  <c r="R43" i="1"/>
  <c r="S43" i="1"/>
  <c r="T43" i="1"/>
  <c r="O44" i="1"/>
  <c r="P44" i="1"/>
  <c r="R44" i="1"/>
  <c r="S44" i="1"/>
  <c r="T44" i="1"/>
  <c r="O45" i="1"/>
  <c r="Q45" i="1"/>
  <c r="R45" i="1"/>
  <c r="S45" i="1"/>
  <c r="T45" i="1"/>
  <c r="O46" i="1"/>
  <c r="P46" i="1"/>
  <c r="R46" i="1"/>
  <c r="S46" i="1"/>
  <c r="T46" i="1"/>
  <c r="O47" i="1"/>
  <c r="Q47" i="1"/>
  <c r="R47" i="1"/>
  <c r="S47" i="1"/>
  <c r="T47" i="1"/>
  <c r="O48" i="1"/>
  <c r="P48" i="1"/>
  <c r="R48" i="1"/>
  <c r="S48" i="1"/>
  <c r="T48" i="1"/>
  <c r="O49" i="1"/>
  <c r="P49" i="1"/>
  <c r="Q49" i="1"/>
  <c r="R49" i="1"/>
  <c r="S49" i="1"/>
  <c r="O50" i="1"/>
  <c r="P50" i="1"/>
  <c r="Q50" i="1"/>
  <c r="R50" i="1"/>
  <c r="S50" i="1"/>
  <c r="O51" i="1"/>
  <c r="P51" i="1"/>
  <c r="Q51" i="1"/>
  <c r="R51" i="1"/>
  <c r="S51" i="1"/>
  <c r="O52" i="1"/>
  <c r="P52" i="1"/>
  <c r="Q52" i="1"/>
  <c r="R52" i="1"/>
  <c r="T52" i="1"/>
  <c r="O53" i="1"/>
  <c r="P53" i="1"/>
  <c r="Q53" i="1"/>
  <c r="R53" i="1"/>
  <c r="S53" i="1"/>
  <c r="T53" i="1"/>
  <c r="O54" i="1"/>
  <c r="Q54" i="1"/>
  <c r="R54" i="1"/>
  <c r="S54" i="1"/>
  <c r="T54" i="1"/>
  <c r="O55" i="1"/>
  <c r="P55" i="1"/>
  <c r="R55" i="1"/>
  <c r="S55" i="1"/>
  <c r="T55" i="1"/>
  <c r="O56" i="1"/>
  <c r="Q56" i="1"/>
  <c r="R56" i="1"/>
  <c r="S56" i="1"/>
  <c r="T56" i="1"/>
  <c r="O57" i="1"/>
  <c r="P57" i="1"/>
  <c r="R57" i="1"/>
  <c r="S57" i="1"/>
  <c r="T57" i="1"/>
  <c r="O58" i="1"/>
  <c r="Q58" i="1"/>
  <c r="R58" i="1"/>
  <c r="S58" i="1"/>
  <c r="T58" i="1"/>
  <c r="O59" i="1"/>
  <c r="P59" i="1"/>
  <c r="R59" i="1"/>
  <c r="S59" i="1"/>
  <c r="T59" i="1"/>
  <c r="O60" i="1"/>
  <c r="Q60" i="1"/>
  <c r="R60" i="1"/>
  <c r="S60" i="1"/>
  <c r="T60" i="1"/>
  <c r="O61" i="1"/>
  <c r="P61" i="1"/>
  <c r="R61" i="1"/>
  <c r="S61" i="1"/>
  <c r="T61" i="1"/>
  <c r="O62" i="1"/>
  <c r="P62" i="1"/>
  <c r="Q62" i="1"/>
  <c r="R62" i="1"/>
  <c r="S62" i="1"/>
  <c r="O63" i="1"/>
  <c r="P63" i="1"/>
  <c r="Q63" i="1"/>
  <c r="R63" i="1"/>
  <c r="S63" i="1"/>
  <c r="O64" i="1"/>
  <c r="P64" i="1"/>
  <c r="Q64" i="1"/>
  <c r="R64" i="1"/>
  <c r="S64" i="1"/>
  <c r="O65" i="1"/>
  <c r="P65" i="1"/>
  <c r="Q65" i="1"/>
  <c r="R65" i="1"/>
  <c r="T65" i="1"/>
  <c r="O66" i="1"/>
  <c r="P66" i="1"/>
  <c r="Q66" i="1"/>
  <c r="R66" i="1"/>
  <c r="S66" i="1"/>
  <c r="T66" i="1"/>
  <c r="O67" i="1"/>
  <c r="Q67" i="1"/>
  <c r="R67" i="1"/>
  <c r="S67" i="1"/>
  <c r="T67" i="1"/>
  <c r="O68" i="1"/>
  <c r="P68" i="1"/>
  <c r="R68" i="1"/>
  <c r="S68" i="1"/>
  <c r="T68" i="1"/>
  <c r="O69" i="1"/>
  <c r="Q69" i="1"/>
  <c r="R69" i="1"/>
  <c r="S69" i="1"/>
  <c r="T69" i="1"/>
  <c r="O70" i="1"/>
  <c r="P70" i="1"/>
  <c r="R70" i="1"/>
  <c r="S70" i="1"/>
  <c r="T70" i="1"/>
  <c r="O71" i="1"/>
  <c r="Q71" i="1"/>
  <c r="R71" i="1"/>
  <c r="S71" i="1"/>
  <c r="T71" i="1"/>
  <c r="O72" i="1"/>
  <c r="P72" i="1"/>
  <c r="R72" i="1"/>
  <c r="S72" i="1"/>
  <c r="T72" i="1"/>
  <c r="O73" i="1"/>
  <c r="P73" i="1"/>
  <c r="Q73" i="1"/>
  <c r="R73" i="1"/>
  <c r="S73" i="1"/>
  <c r="O74" i="1"/>
  <c r="P74" i="1"/>
  <c r="Q74" i="1"/>
  <c r="R74" i="1"/>
  <c r="S74" i="1"/>
  <c r="O75" i="1"/>
  <c r="P75" i="1"/>
  <c r="Q75" i="1"/>
  <c r="R75" i="1"/>
  <c r="S75" i="1"/>
  <c r="O76" i="1"/>
  <c r="P76" i="1"/>
  <c r="Q76" i="1"/>
  <c r="R76" i="1"/>
  <c r="T76" i="1"/>
  <c r="O77" i="1"/>
  <c r="P77" i="1"/>
  <c r="Q77" i="1"/>
  <c r="R77" i="1"/>
  <c r="S77" i="1"/>
  <c r="T77" i="1"/>
  <c r="O78" i="1"/>
  <c r="P78" i="1"/>
  <c r="R78" i="1"/>
  <c r="S78" i="1"/>
  <c r="T78" i="1"/>
  <c r="O79" i="1"/>
  <c r="P79" i="1"/>
  <c r="R79" i="1"/>
  <c r="S79" i="1"/>
  <c r="T79" i="1"/>
  <c r="O80" i="1"/>
  <c r="P80" i="1"/>
  <c r="Q80" i="1"/>
  <c r="R80" i="1"/>
  <c r="S80" i="1"/>
  <c r="O81" i="1"/>
  <c r="P81" i="1"/>
  <c r="Q81" i="1"/>
  <c r="R81" i="1"/>
  <c r="S81" i="1"/>
  <c r="O82" i="1"/>
  <c r="P82" i="1"/>
  <c r="Q82" i="1"/>
  <c r="R82" i="1"/>
  <c r="S82" i="1"/>
  <c r="O83" i="1"/>
  <c r="P83" i="1"/>
  <c r="Q83" i="1"/>
  <c r="R83" i="1"/>
  <c r="T83" i="1"/>
  <c r="O84" i="1"/>
  <c r="P84" i="1"/>
  <c r="Q84" i="1"/>
  <c r="R84" i="1"/>
  <c r="S84" i="1"/>
  <c r="T84" i="1"/>
  <c r="O85" i="1"/>
  <c r="P85" i="1"/>
  <c r="R85" i="1"/>
  <c r="S85" i="1"/>
  <c r="T85" i="1"/>
  <c r="O86" i="1"/>
  <c r="P86" i="1"/>
  <c r="R86" i="1"/>
  <c r="S86" i="1"/>
  <c r="T86" i="1"/>
  <c r="O87" i="1"/>
  <c r="P87" i="1"/>
  <c r="Q87" i="1"/>
  <c r="R87" i="1"/>
  <c r="S87" i="1"/>
  <c r="O88" i="1"/>
  <c r="P88" i="1"/>
  <c r="Q88" i="1"/>
  <c r="R88" i="1"/>
  <c r="S88" i="1"/>
  <c r="O89" i="1"/>
  <c r="P89" i="1"/>
  <c r="Q89" i="1"/>
  <c r="R89" i="1"/>
  <c r="S89" i="1"/>
  <c r="O90" i="1"/>
  <c r="P90" i="1"/>
  <c r="Q90" i="1"/>
  <c r="R90" i="1"/>
  <c r="T90" i="1"/>
  <c r="O91" i="1"/>
  <c r="P91" i="1"/>
  <c r="Q91" i="1"/>
  <c r="R91" i="1"/>
  <c r="S91" i="1"/>
  <c r="T91" i="1"/>
  <c r="O92" i="1"/>
  <c r="P92" i="1"/>
  <c r="R92" i="1"/>
  <c r="S92" i="1"/>
  <c r="T92" i="1"/>
  <c r="O93" i="1"/>
  <c r="P93" i="1"/>
  <c r="R93" i="1"/>
  <c r="S93" i="1"/>
  <c r="T93" i="1"/>
  <c r="O94" i="1"/>
  <c r="P94" i="1"/>
  <c r="Q94" i="1"/>
  <c r="R94" i="1"/>
  <c r="S94" i="1"/>
  <c r="O95" i="1"/>
  <c r="P95" i="1"/>
  <c r="Q95" i="1"/>
  <c r="R95" i="1"/>
  <c r="S95" i="1"/>
  <c r="O96" i="1"/>
  <c r="P96" i="1"/>
  <c r="Q96" i="1"/>
  <c r="R96" i="1"/>
  <c r="S96" i="1"/>
  <c r="O97" i="1"/>
  <c r="P97" i="1"/>
  <c r="Q97" i="1"/>
  <c r="R97" i="1"/>
  <c r="T97" i="1"/>
  <c r="O98" i="1"/>
  <c r="P98" i="1"/>
  <c r="Q98" i="1"/>
  <c r="R98" i="1"/>
  <c r="S98" i="1"/>
  <c r="T98" i="1"/>
  <c r="O99" i="1"/>
  <c r="P99" i="1"/>
  <c r="R99" i="1"/>
  <c r="S99" i="1"/>
  <c r="T99" i="1"/>
  <c r="O100" i="1"/>
  <c r="P100" i="1"/>
  <c r="Q100" i="1"/>
  <c r="S100" i="1"/>
  <c r="T100" i="1"/>
  <c r="O101" i="1"/>
  <c r="P101" i="1"/>
  <c r="R101" i="1"/>
  <c r="S101" i="1"/>
  <c r="T101" i="1"/>
  <c r="O102" i="1"/>
  <c r="P102" i="1"/>
  <c r="Q102" i="1"/>
  <c r="S102" i="1"/>
  <c r="T102" i="1"/>
  <c r="O103" i="1"/>
  <c r="P103" i="1"/>
  <c r="Q103" i="1"/>
  <c r="R103" i="1"/>
  <c r="S103" i="1"/>
  <c r="O104" i="1"/>
  <c r="P104" i="1"/>
  <c r="Q104" i="1"/>
  <c r="R104" i="1"/>
  <c r="S104" i="1"/>
  <c r="O105" i="1"/>
  <c r="P105" i="1"/>
  <c r="Q105" i="1"/>
  <c r="R105" i="1"/>
  <c r="S105" i="1"/>
  <c r="O106" i="1"/>
  <c r="P106" i="1"/>
  <c r="Q106" i="1"/>
  <c r="R106" i="1"/>
  <c r="T106" i="1"/>
  <c r="O107" i="1"/>
  <c r="P107" i="1"/>
  <c r="Q107" i="1"/>
  <c r="R107" i="1"/>
  <c r="S107" i="1"/>
  <c r="T107" i="1"/>
  <c r="O108" i="1"/>
  <c r="P108" i="1"/>
  <c r="R108" i="1"/>
  <c r="S108" i="1"/>
  <c r="T108" i="1"/>
  <c r="O109" i="1"/>
  <c r="P109" i="1"/>
  <c r="Q109" i="1"/>
  <c r="S109" i="1"/>
  <c r="T109" i="1"/>
  <c r="O110" i="1"/>
  <c r="P110" i="1"/>
  <c r="R110" i="1"/>
  <c r="S110" i="1"/>
  <c r="T110" i="1"/>
  <c r="O111" i="1"/>
  <c r="P111" i="1"/>
  <c r="Q111" i="1"/>
  <c r="S111" i="1"/>
  <c r="T111" i="1"/>
  <c r="O112" i="1"/>
  <c r="P112" i="1"/>
  <c r="Q112" i="1"/>
  <c r="R112" i="1"/>
  <c r="S112" i="1"/>
  <c r="O113" i="1"/>
  <c r="P113" i="1"/>
  <c r="Q113" i="1"/>
  <c r="R113" i="1"/>
  <c r="S113" i="1"/>
  <c r="O114" i="1"/>
  <c r="P114" i="1"/>
  <c r="Q114" i="1"/>
  <c r="R114" i="1"/>
  <c r="S114" i="1"/>
  <c r="O115" i="1"/>
  <c r="P115" i="1"/>
  <c r="Q115" i="1"/>
  <c r="R115" i="1"/>
  <c r="T115" i="1"/>
  <c r="O116" i="1"/>
  <c r="P116" i="1"/>
  <c r="Q116" i="1"/>
  <c r="R116" i="1"/>
  <c r="S116" i="1"/>
  <c r="T116" i="1"/>
  <c r="O117" i="1"/>
  <c r="P117" i="1"/>
  <c r="R117" i="1"/>
  <c r="S117" i="1"/>
  <c r="T117" i="1"/>
  <c r="O118" i="1"/>
  <c r="P118" i="1"/>
  <c r="Q118" i="1"/>
  <c r="S118" i="1"/>
  <c r="T118" i="1"/>
  <c r="O119" i="1"/>
  <c r="P119" i="1"/>
  <c r="R119" i="1"/>
  <c r="S119" i="1"/>
  <c r="T119" i="1"/>
  <c r="O120" i="1"/>
  <c r="P120" i="1"/>
  <c r="Q120" i="1"/>
  <c r="S120" i="1"/>
  <c r="T120" i="1"/>
  <c r="O121" i="1"/>
  <c r="P121" i="1"/>
  <c r="Q121" i="1"/>
  <c r="R121" i="1"/>
  <c r="S121" i="1"/>
  <c r="O122" i="1"/>
  <c r="P122" i="1"/>
  <c r="Q122" i="1"/>
  <c r="R122" i="1"/>
  <c r="S122" i="1"/>
  <c r="O123" i="1"/>
  <c r="P123" i="1"/>
  <c r="Q123" i="1"/>
  <c r="R123" i="1"/>
  <c r="S123" i="1"/>
  <c r="O124" i="1"/>
  <c r="P124" i="1"/>
  <c r="Q124" i="1"/>
  <c r="R124" i="1"/>
  <c r="T124" i="1"/>
  <c r="O125" i="1"/>
  <c r="P125" i="1"/>
  <c r="Q125" i="1"/>
  <c r="R125" i="1"/>
  <c r="S125" i="1"/>
  <c r="T125" i="1"/>
  <c r="O126" i="1"/>
  <c r="P126" i="1"/>
  <c r="R126" i="1"/>
  <c r="S126" i="1"/>
  <c r="T126" i="1"/>
  <c r="O127" i="1"/>
  <c r="P127" i="1"/>
  <c r="R127" i="1"/>
  <c r="S127" i="1"/>
  <c r="T127" i="1"/>
  <c r="O128" i="1"/>
  <c r="P128" i="1"/>
  <c r="Q128" i="1"/>
  <c r="R128" i="1"/>
  <c r="S128" i="1"/>
  <c r="O129" i="1"/>
  <c r="P129" i="1"/>
  <c r="Q129" i="1"/>
  <c r="R129" i="1"/>
  <c r="S129" i="1"/>
  <c r="O130" i="1"/>
  <c r="P130" i="1"/>
  <c r="Q130" i="1"/>
  <c r="R130" i="1"/>
  <c r="S130" i="1"/>
  <c r="O131" i="1"/>
  <c r="P131" i="1"/>
  <c r="Q131" i="1"/>
  <c r="R131" i="1"/>
  <c r="S131" i="1"/>
  <c r="T131" i="1"/>
  <c r="O132" i="1"/>
  <c r="P132" i="1"/>
  <c r="R132" i="1"/>
  <c r="S132" i="1"/>
  <c r="T132" i="1"/>
  <c r="O133" i="1"/>
  <c r="P133" i="1"/>
  <c r="R133" i="1"/>
  <c r="S133" i="1"/>
  <c r="T133" i="1"/>
  <c r="O134" i="1"/>
  <c r="P134" i="1"/>
  <c r="Q134" i="1"/>
  <c r="R134" i="1"/>
  <c r="S134" i="1"/>
  <c r="O135" i="1"/>
  <c r="P135" i="1"/>
  <c r="Q135" i="1"/>
  <c r="R135" i="1"/>
  <c r="S135" i="1"/>
  <c r="O136" i="1"/>
  <c r="P136" i="1"/>
  <c r="Q136" i="1"/>
  <c r="R136" i="1"/>
  <c r="S136" i="1"/>
  <c r="O137" i="1"/>
  <c r="P137" i="1"/>
  <c r="Q137" i="1"/>
  <c r="R137" i="1"/>
  <c r="S137" i="1"/>
  <c r="T137" i="1"/>
  <c r="O138" i="1"/>
  <c r="P138" i="1"/>
  <c r="R138" i="1"/>
  <c r="S138" i="1"/>
  <c r="T138" i="1"/>
  <c r="O139" i="1"/>
  <c r="P139" i="1"/>
  <c r="R139" i="1"/>
  <c r="S139" i="1"/>
  <c r="T139" i="1"/>
  <c r="O140" i="1"/>
  <c r="P140" i="1"/>
  <c r="Q140" i="1"/>
  <c r="R140" i="1"/>
  <c r="S140" i="1"/>
  <c r="O141" i="1"/>
  <c r="P141" i="1"/>
  <c r="Q141" i="1"/>
  <c r="R141" i="1"/>
  <c r="S141" i="1"/>
  <c r="O142" i="1"/>
  <c r="P142" i="1"/>
  <c r="Q142" i="1"/>
  <c r="R142" i="1"/>
  <c r="S142" i="1"/>
  <c r="O143" i="1"/>
  <c r="P143" i="1"/>
  <c r="Q143" i="1"/>
  <c r="R143" i="1"/>
  <c r="S143" i="1"/>
  <c r="T143" i="1"/>
  <c r="O144" i="1"/>
  <c r="P144" i="1"/>
  <c r="Q144" i="1"/>
  <c r="S144" i="1"/>
  <c r="T144" i="1"/>
  <c r="O145" i="1"/>
  <c r="P145" i="1"/>
  <c r="R145" i="1"/>
  <c r="S145" i="1"/>
  <c r="T145" i="1"/>
  <c r="O146" i="1"/>
  <c r="P146" i="1"/>
  <c r="Q146" i="1"/>
  <c r="S146" i="1"/>
  <c r="T146" i="1"/>
  <c r="O147" i="1"/>
  <c r="P147" i="1"/>
  <c r="Q147" i="1"/>
  <c r="R147" i="1"/>
  <c r="S147" i="1"/>
  <c r="O148" i="1"/>
  <c r="P148" i="1"/>
  <c r="Q148" i="1"/>
  <c r="R148" i="1"/>
  <c r="S148" i="1"/>
  <c r="O149" i="1"/>
  <c r="P149" i="1"/>
  <c r="Q149" i="1"/>
  <c r="R149" i="1"/>
  <c r="S149" i="1"/>
  <c r="O150" i="1"/>
  <c r="P150" i="1"/>
  <c r="Q150" i="1"/>
  <c r="R150" i="1"/>
  <c r="S150" i="1"/>
  <c r="T150" i="1"/>
  <c r="O151" i="1"/>
  <c r="P151" i="1"/>
  <c r="R151" i="1"/>
  <c r="S151" i="1"/>
  <c r="T151" i="1"/>
  <c r="O152" i="1"/>
  <c r="P152" i="1"/>
  <c r="R152" i="1"/>
  <c r="S152" i="1"/>
  <c r="T152" i="1"/>
  <c r="O153" i="1"/>
  <c r="P153" i="1"/>
  <c r="R153" i="1"/>
  <c r="S153" i="1"/>
  <c r="T153" i="1"/>
  <c r="O154" i="1"/>
  <c r="P154" i="1"/>
  <c r="Q154" i="1"/>
  <c r="R154" i="1"/>
  <c r="S154" i="1"/>
  <c r="O155" i="1"/>
  <c r="P155" i="1"/>
  <c r="Q155" i="1"/>
  <c r="R155" i="1"/>
  <c r="S155" i="1"/>
  <c r="O156" i="1"/>
  <c r="P156" i="1"/>
  <c r="Q156" i="1"/>
  <c r="R156" i="1"/>
  <c r="S156" i="1"/>
  <c r="O157" i="1"/>
  <c r="P157" i="1"/>
  <c r="Q157" i="1"/>
  <c r="R157" i="1"/>
  <c r="S157" i="1"/>
  <c r="T157" i="1"/>
  <c r="O158" i="1"/>
  <c r="P158" i="1"/>
  <c r="R158" i="1"/>
  <c r="S158" i="1"/>
  <c r="T158" i="1"/>
  <c r="O159" i="1"/>
  <c r="P159" i="1"/>
  <c r="R159" i="1"/>
  <c r="S159" i="1"/>
  <c r="T159" i="1"/>
  <c r="O160" i="1"/>
  <c r="P160" i="1"/>
  <c r="R160" i="1"/>
  <c r="S160" i="1"/>
  <c r="T160" i="1"/>
  <c r="O161" i="1"/>
  <c r="P161" i="1"/>
  <c r="R161" i="1"/>
  <c r="S161" i="1"/>
  <c r="T161" i="1"/>
  <c r="O162" i="1"/>
  <c r="P162" i="1"/>
  <c r="Q162" i="1"/>
  <c r="R162" i="1"/>
  <c r="S162" i="1"/>
  <c r="O163" i="1"/>
  <c r="P163" i="1"/>
  <c r="Q163" i="1"/>
  <c r="R163" i="1"/>
  <c r="S163" i="1"/>
  <c r="O164" i="1"/>
  <c r="P164" i="1"/>
  <c r="Q164" i="1"/>
  <c r="R164" i="1"/>
  <c r="S164" i="1"/>
  <c r="O165" i="1"/>
  <c r="P165" i="1"/>
  <c r="Q165" i="1"/>
  <c r="R165" i="1"/>
  <c r="S165" i="1"/>
  <c r="T165" i="1"/>
  <c r="O166" i="1"/>
  <c r="P166" i="1"/>
  <c r="R166" i="1"/>
  <c r="S166" i="1"/>
  <c r="T166" i="1"/>
  <c r="O167" i="1"/>
  <c r="P167" i="1"/>
  <c r="R167" i="1"/>
  <c r="S167" i="1"/>
  <c r="T167" i="1"/>
  <c r="O168" i="1"/>
  <c r="P168" i="1"/>
  <c r="R168" i="1"/>
  <c r="S168" i="1"/>
  <c r="T168" i="1"/>
  <c r="O169" i="1"/>
  <c r="P169" i="1"/>
  <c r="Q169" i="1"/>
  <c r="R169" i="1"/>
  <c r="S169" i="1"/>
  <c r="O170" i="1"/>
  <c r="P170" i="1"/>
  <c r="Q170" i="1"/>
  <c r="R170" i="1"/>
  <c r="S170" i="1"/>
  <c r="O171" i="1"/>
  <c r="P171" i="1"/>
  <c r="Q171" i="1"/>
  <c r="R171" i="1"/>
  <c r="S171" i="1"/>
  <c r="O172" i="1"/>
  <c r="P172" i="1"/>
  <c r="Q172" i="1"/>
  <c r="R172" i="1"/>
  <c r="S172" i="1"/>
  <c r="T172" i="1"/>
  <c r="O173" i="1"/>
  <c r="P173" i="1"/>
  <c r="R173" i="1"/>
  <c r="S173" i="1"/>
  <c r="T173" i="1"/>
  <c r="O174" i="1"/>
  <c r="P174" i="1"/>
  <c r="Q174" i="1"/>
  <c r="S174" i="1"/>
  <c r="T174" i="1"/>
  <c r="O175" i="1"/>
  <c r="P175" i="1"/>
  <c r="R175" i="1"/>
  <c r="S175" i="1"/>
  <c r="T175" i="1"/>
  <c r="O176" i="1"/>
  <c r="P176" i="1"/>
  <c r="Q176" i="1"/>
  <c r="S176" i="1"/>
  <c r="T176" i="1"/>
  <c r="O177" i="1"/>
  <c r="P177" i="1"/>
  <c r="Q177" i="1"/>
  <c r="R177" i="1"/>
  <c r="S177" i="1"/>
  <c r="O178" i="1"/>
  <c r="P178" i="1"/>
  <c r="Q178" i="1"/>
  <c r="R178" i="1"/>
  <c r="S178" i="1"/>
  <c r="O179" i="1"/>
  <c r="P179" i="1"/>
  <c r="Q179" i="1"/>
  <c r="R179" i="1"/>
  <c r="S179" i="1"/>
  <c r="O180" i="1"/>
  <c r="P180" i="1"/>
  <c r="Q180" i="1"/>
  <c r="R180" i="1"/>
  <c r="S180" i="1"/>
  <c r="T180" i="1"/>
  <c r="O181" i="1"/>
  <c r="P181" i="1"/>
  <c r="R181" i="1"/>
  <c r="S181" i="1"/>
  <c r="T181" i="1"/>
  <c r="O182" i="1"/>
  <c r="P182" i="1"/>
  <c r="R182" i="1"/>
  <c r="S182" i="1"/>
  <c r="T182" i="1"/>
  <c r="O183" i="1"/>
  <c r="P183" i="1"/>
  <c r="R183" i="1"/>
  <c r="S183" i="1"/>
  <c r="T183" i="1"/>
  <c r="O184" i="1"/>
  <c r="P184" i="1"/>
  <c r="Q184" i="1"/>
  <c r="R184" i="1"/>
  <c r="S184" i="1"/>
  <c r="O185" i="1"/>
  <c r="P185" i="1"/>
  <c r="Q185" i="1"/>
  <c r="R185" i="1"/>
  <c r="S185" i="1"/>
  <c r="O186" i="1"/>
  <c r="P186" i="1"/>
  <c r="Q186" i="1"/>
  <c r="R186" i="1"/>
  <c r="S186" i="1"/>
  <c r="O187" i="1"/>
  <c r="P187" i="1"/>
  <c r="Q187" i="1"/>
  <c r="R187" i="1"/>
  <c r="S187" i="1"/>
  <c r="T187" i="1"/>
  <c r="O188" i="1"/>
  <c r="P188" i="1"/>
  <c r="R188" i="1"/>
  <c r="S188" i="1"/>
  <c r="T188" i="1"/>
  <c r="O189" i="1"/>
  <c r="P189" i="1"/>
  <c r="R189" i="1"/>
  <c r="S189" i="1"/>
  <c r="T189" i="1"/>
  <c r="O190" i="1"/>
  <c r="P190" i="1"/>
  <c r="R190" i="1"/>
  <c r="S190" i="1"/>
  <c r="T190" i="1"/>
  <c r="O191" i="1"/>
  <c r="P191" i="1"/>
  <c r="R191" i="1"/>
  <c r="S191" i="1"/>
  <c r="T191" i="1"/>
  <c r="O192" i="1"/>
  <c r="P192" i="1"/>
  <c r="Q192" i="1"/>
  <c r="R192" i="1"/>
  <c r="S192" i="1"/>
  <c r="O193" i="1"/>
  <c r="P193" i="1"/>
  <c r="Q193" i="1"/>
  <c r="R193" i="1"/>
  <c r="S193" i="1"/>
  <c r="O194" i="1"/>
  <c r="P194" i="1"/>
  <c r="Q194" i="1"/>
  <c r="R194" i="1"/>
  <c r="S194" i="1"/>
  <c r="O195" i="1"/>
  <c r="P195" i="1"/>
  <c r="Q195" i="1"/>
  <c r="R195" i="1"/>
  <c r="S195" i="1"/>
  <c r="T195" i="1"/>
  <c r="O196" i="1"/>
  <c r="P196" i="1"/>
  <c r="R196" i="1"/>
  <c r="S196" i="1"/>
  <c r="T196" i="1"/>
  <c r="O197" i="1"/>
  <c r="Q197" i="1"/>
  <c r="R197" i="1"/>
  <c r="S197" i="1"/>
  <c r="T197" i="1"/>
  <c r="O198" i="1"/>
  <c r="P198" i="1"/>
  <c r="R198" i="1"/>
  <c r="S198" i="1"/>
  <c r="T198" i="1"/>
  <c r="O199" i="1"/>
  <c r="P199" i="1"/>
  <c r="Q199" i="1"/>
  <c r="R199" i="1"/>
  <c r="S199" i="1"/>
  <c r="O200" i="1"/>
  <c r="P200" i="1"/>
  <c r="Q200" i="1"/>
  <c r="R200" i="1"/>
  <c r="S200" i="1"/>
  <c r="O201" i="1"/>
  <c r="P201" i="1"/>
  <c r="Q201" i="1"/>
  <c r="R201" i="1"/>
  <c r="S201" i="1"/>
  <c r="O202" i="1"/>
  <c r="P202" i="1"/>
  <c r="Q202" i="1"/>
  <c r="R202" i="1"/>
  <c r="S202" i="1"/>
  <c r="T202" i="1"/>
  <c r="O203" i="1"/>
  <c r="P203" i="1"/>
  <c r="R203" i="1"/>
  <c r="S203" i="1"/>
  <c r="T203" i="1"/>
  <c r="O204" i="1"/>
  <c r="P204" i="1"/>
  <c r="R204" i="1"/>
  <c r="S204" i="1"/>
  <c r="T204" i="1"/>
  <c r="O205" i="1"/>
  <c r="P205" i="1"/>
  <c r="Q205" i="1"/>
  <c r="S205" i="1"/>
  <c r="T205" i="1"/>
  <c r="O206" i="1"/>
  <c r="P206" i="1"/>
  <c r="Q206" i="1"/>
  <c r="R206" i="1"/>
  <c r="S206" i="1"/>
  <c r="O207" i="1"/>
  <c r="P207" i="1"/>
  <c r="Q207" i="1"/>
  <c r="R207" i="1"/>
  <c r="S207" i="1"/>
  <c r="O208" i="1"/>
  <c r="P208" i="1"/>
  <c r="Q208" i="1"/>
  <c r="R208" i="1"/>
  <c r="S208" i="1"/>
  <c r="O209" i="1"/>
  <c r="P209" i="1"/>
  <c r="Q209" i="1"/>
  <c r="R209" i="1"/>
  <c r="S209" i="1"/>
  <c r="T209" i="1"/>
  <c r="O210" i="1"/>
  <c r="P210" i="1"/>
  <c r="R210" i="1"/>
  <c r="S210" i="1"/>
  <c r="T210" i="1"/>
  <c r="O211" i="1"/>
  <c r="P211" i="1"/>
  <c r="R211" i="1"/>
  <c r="S211" i="1"/>
  <c r="T211" i="1"/>
  <c r="O212" i="1"/>
  <c r="P212" i="1"/>
  <c r="Q212" i="1"/>
  <c r="S212" i="1"/>
  <c r="T212" i="1"/>
  <c r="O213" i="1"/>
  <c r="P213" i="1"/>
  <c r="Q213" i="1"/>
  <c r="S213" i="1"/>
  <c r="T213" i="1"/>
  <c r="O214" i="1"/>
  <c r="P214" i="1"/>
  <c r="Q214" i="1"/>
  <c r="R214" i="1"/>
  <c r="S214" i="1"/>
  <c r="O215" i="1"/>
  <c r="P215" i="1"/>
  <c r="Q215" i="1"/>
  <c r="R215" i="1"/>
  <c r="S215" i="1"/>
  <c r="O216" i="1"/>
  <c r="P216" i="1"/>
  <c r="Q216" i="1"/>
  <c r="R216" i="1"/>
  <c r="S216" i="1"/>
  <c r="O235" i="1"/>
  <c r="P235" i="1"/>
  <c r="Q235" i="1"/>
  <c r="R235" i="1"/>
  <c r="S235" i="1"/>
  <c r="T235" i="1"/>
  <c r="O236" i="1"/>
  <c r="P236" i="1"/>
  <c r="Q236" i="1"/>
  <c r="R236" i="1"/>
  <c r="S236" i="1"/>
  <c r="T236" i="1"/>
  <c r="O237" i="1"/>
  <c r="P237" i="1"/>
  <c r="Q237" i="1"/>
  <c r="R237" i="1"/>
  <c r="S237" i="1"/>
  <c r="T237" i="1"/>
  <c r="O238" i="1"/>
  <c r="P238" i="1"/>
  <c r="Q238" i="1"/>
  <c r="R238" i="1"/>
  <c r="T238" i="1"/>
  <c r="O239" i="1"/>
  <c r="P239" i="1"/>
  <c r="Q239" i="1"/>
  <c r="R239" i="1"/>
  <c r="T239" i="1"/>
  <c r="O240" i="1"/>
  <c r="P240" i="1"/>
  <c r="Q240" i="1"/>
  <c r="R240" i="1"/>
  <c r="T240" i="1"/>
  <c r="O241" i="1"/>
  <c r="P241" i="1"/>
  <c r="Q241" i="1"/>
  <c r="R241" i="1"/>
  <c r="T241" i="1"/>
  <c r="O242" i="1"/>
  <c r="P242" i="1"/>
  <c r="Q242" i="1"/>
  <c r="R242" i="1"/>
  <c r="S242" i="1"/>
  <c r="O243" i="1"/>
  <c r="P243" i="1"/>
  <c r="Q243" i="1"/>
  <c r="R243" i="1"/>
  <c r="S243" i="1"/>
  <c r="O244" i="1"/>
  <c r="P244" i="1"/>
  <c r="Q244" i="1"/>
  <c r="R244" i="1"/>
  <c r="S244" i="1"/>
  <c r="O245" i="1"/>
  <c r="P245" i="1"/>
  <c r="Q245" i="1"/>
  <c r="R245" i="1"/>
  <c r="S245" i="1"/>
  <c r="O246" i="1"/>
  <c r="P246" i="1"/>
  <c r="Q246" i="1"/>
  <c r="R246" i="1"/>
  <c r="S246" i="1"/>
  <c r="O247" i="1"/>
  <c r="P247" i="1"/>
  <c r="Q247" i="1"/>
  <c r="R247" i="1"/>
  <c r="S247" i="1"/>
  <c r="O248" i="1"/>
  <c r="P248" i="1"/>
  <c r="Q248" i="1"/>
  <c r="R248" i="1"/>
  <c r="S248" i="1"/>
  <c r="O249" i="1"/>
  <c r="P249" i="1"/>
  <c r="Q249" i="1"/>
  <c r="R249" i="1"/>
  <c r="S249" i="1"/>
  <c r="O250" i="1"/>
  <c r="P250" i="1"/>
  <c r="Q250" i="1"/>
  <c r="R250" i="1"/>
  <c r="S250" i="1"/>
  <c r="T250" i="1"/>
  <c r="O251" i="1"/>
  <c r="P251" i="1"/>
  <c r="Q251" i="1"/>
  <c r="R251" i="1"/>
  <c r="T251" i="1"/>
  <c r="O252" i="1"/>
  <c r="P252" i="1"/>
  <c r="Q252" i="1"/>
  <c r="R252" i="1"/>
  <c r="T252" i="1"/>
  <c r="O253" i="1"/>
  <c r="P253" i="1"/>
  <c r="Q253" i="1"/>
  <c r="R253" i="1"/>
  <c r="S253" i="1"/>
  <c r="O254" i="1"/>
  <c r="P254" i="1"/>
  <c r="Q254" i="1"/>
  <c r="R254" i="1"/>
  <c r="S254" i="1"/>
  <c r="O255" i="1"/>
  <c r="P255" i="1"/>
  <c r="Q255" i="1"/>
  <c r="R255" i="1"/>
  <c r="S255" i="1"/>
  <c r="O256" i="1"/>
  <c r="P256" i="1"/>
  <c r="Q256" i="1"/>
  <c r="R256" i="1"/>
  <c r="S256" i="1"/>
  <c r="O257" i="1"/>
  <c r="P257" i="1"/>
  <c r="Q257" i="1"/>
  <c r="R257" i="1"/>
  <c r="S257" i="1"/>
  <c r="O258" i="1"/>
  <c r="P258" i="1"/>
  <c r="Q258" i="1"/>
  <c r="R258" i="1"/>
  <c r="S258" i="1"/>
  <c r="O259" i="1"/>
  <c r="P259" i="1"/>
  <c r="Q259" i="1"/>
  <c r="R259" i="1"/>
  <c r="S259" i="1"/>
  <c r="O260" i="1"/>
  <c r="P260" i="1"/>
  <c r="Q260" i="1"/>
  <c r="R260" i="1"/>
  <c r="S260" i="1"/>
  <c r="T260" i="1"/>
  <c r="O261" i="1"/>
  <c r="P261" i="1"/>
  <c r="Q261" i="1"/>
  <c r="R261" i="1"/>
  <c r="S261" i="1"/>
  <c r="O262" i="1"/>
  <c r="P262" i="1"/>
  <c r="Q262" i="1"/>
  <c r="R262" i="1"/>
  <c r="S262" i="1"/>
  <c r="O263" i="1"/>
  <c r="P263" i="1"/>
  <c r="Q263" i="1"/>
  <c r="R263" i="1"/>
  <c r="S263" i="1"/>
  <c r="O264" i="1"/>
  <c r="P264" i="1"/>
  <c r="Q264" i="1"/>
  <c r="R264" i="1"/>
  <c r="S264" i="1"/>
  <c r="O265" i="1"/>
  <c r="P265" i="1"/>
  <c r="Q265" i="1"/>
  <c r="R265" i="1"/>
  <c r="S265" i="1"/>
  <c r="T265" i="1"/>
  <c r="O266" i="1"/>
  <c r="P266" i="1"/>
  <c r="Q266" i="1"/>
  <c r="R266" i="1"/>
  <c r="S266" i="1"/>
  <c r="O267" i="1"/>
  <c r="P267" i="1"/>
  <c r="Q267" i="1"/>
  <c r="R267" i="1"/>
  <c r="S267" i="1"/>
  <c r="O268" i="1"/>
  <c r="P268" i="1"/>
  <c r="Q268" i="1"/>
  <c r="R268" i="1"/>
  <c r="S268" i="1"/>
  <c r="O269" i="1"/>
  <c r="P269" i="1"/>
  <c r="Q269" i="1"/>
  <c r="R269" i="1"/>
  <c r="S269" i="1"/>
  <c r="O270" i="1"/>
  <c r="P270" i="1"/>
  <c r="Q270" i="1"/>
  <c r="R270" i="1"/>
  <c r="S270" i="1"/>
  <c r="T270" i="1"/>
  <c r="O271" i="1"/>
  <c r="P271" i="1"/>
  <c r="Q271" i="1"/>
  <c r="R271" i="1"/>
  <c r="T271" i="1"/>
  <c r="O272" i="1"/>
  <c r="P272" i="1"/>
  <c r="Q272" i="1"/>
  <c r="R272" i="1"/>
  <c r="S272" i="1"/>
  <c r="O273" i="1"/>
  <c r="P273" i="1"/>
  <c r="Q273" i="1"/>
  <c r="R273" i="1"/>
  <c r="S273" i="1"/>
  <c r="O274" i="1"/>
  <c r="P274" i="1"/>
  <c r="Q274" i="1"/>
  <c r="R274" i="1"/>
  <c r="S274" i="1"/>
  <c r="O275" i="1"/>
  <c r="P275" i="1"/>
  <c r="Q275" i="1"/>
  <c r="R275" i="1"/>
  <c r="S275" i="1"/>
  <c r="O276" i="1"/>
  <c r="P276" i="1"/>
  <c r="Q276" i="1"/>
  <c r="R276" i="1"/>
  <c r="S276" i="1"/>
  <c r="O277" i="1"/>
  <c r="P277" i="1"/>
  <c r="Q277" i="1"/>
  <c r="R277" i="1"/>
  <c r="S277" i="1"/>
  <c r="O278" i="1"/>
  <c r="P278" i="1"/>
  <c r="Q278" i="1"/>
  <c r="R278" i="1"/>
  <c r="S278" i="1"/>
  <c r="T278" i="1"/>
  <c r="O279" i="1"/>
  <c r="P279" i="1"/>
  <c r="Q279" i="1"/>
  <c r="R279" i="1"/>
  <c r="T279" i="1"/>
  <c r="O280" i="1"/>
  <c r="P280" i="1"/>
  <c r="Q280" i="1"/>
  <c r="R280" i="1"/>
  <c r="T280" i="1"/>
  <c r="O288" i="1"/>
  <c r="P288" i="1"/>
  <c r="Q288" i="1"/>
  <c r="R288" i="1"/>
  <c r="S288" i="1"/>
  <c r="T288" i="1"/>
  <c r="O289" i="1"/>
  <c r="P289" i="1"/>
  <c r="Q289" i="1"/>
  <c r="R289" i="1"/>
  <c r="S289" i="1"/>
  <c r="T289" i="1"/>
  <c r="J75" i="1"/>
  <c r="J74" i="1"/>
  <c r="J73" i="1"/>
  <c r="H74" i="1"/>
  <c r="H75" i="1"/>
  <c r="H73" i="1"/>
  <c r="F208" i="1"/>
  <c r="F207" i="1"/>
  <c r="F206" i="1"/>
  <c r="F216" i="1"/>
  <c r="F215" i="1"/>
  <c r="F214" i="1"/>
  <c r="F201" i="1"/>
  <c r="F200" i="1"/>
  <c r="F199" i="1"/>
  <c r="F194" i="1"/>
  <c r="F193" i="1"/>
  <c r="F192" i="1"/>
  <c r="F186" i="1"/>
  <c r="F185" i="1"/>
  <c r="F184" i="1"/>
  <c r="G232" i="1" l="1"/>
  <c r="G227" i="1"/>
  <c r="Q227" i="1" s="1"/>
  <c r="G228" i="1"/>
  <c r="R228" i="1" s="1"/>
  <c r="G218" i="1"/>
  <c r="Q218" i="1" s="1"/>
  <c r="G231" i="1"/>
  <c r="T231" i="1" s="1"/>
  <c r="T223" i="1"/>
  <c r="G220" i="1"/>
  <c r="Q220" i="1" s="1"/>
  <c r="G222" i="1"/>
  <c r="T222" i="1" s="1"/>
  <c r="G221" i="1"/>
  <c r="R221" i="1" s="1"/>
  <c r="G225" i="1"/>
  <c r="S225" i="1" s="1"/>
  <c r="T232" i="1"/>
  <c r="G47" i="8" l="1"/>
  <c r="G40" i="8"/>
  <c r="G42" i="8"/>
  <c r="G37" i="8"/>
  <c r="G38" i="8"/>
  <c r="G41" i="8"/>
  <c r="G43" i="8"/>
  <c r="G44" i="8"/>
  <c r="G39" i="8"/>
  <c r="G36" i="8"/>
  <c r="G35" i="8"/>
  <c r="G34" i="8"/>
  <c r="G33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15" i="8"/>
  <c r="G14" i="8"/>
  <c r="G4" i="8"/>
  <c r="G5" i="8"/>
  <c r="G3" i="8"/>
  <c r="G17" i="7"/>
  <c r="G17" i="6"/>
  <c r="G18" i="6" s="1"/>
  <c r="G18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G5" i="6"/>
  <c r="G6" i="6"/>
  <c r="G7" i="6"/>
  <c r="G8" i="6"/>
  <c r="G9" i="6"/>
  <c r="G10" i="6"/>
  <c r="G11" i="6"/>
  <c r="G12" i="6"/>
  <c r="G13" i="6"/>
  <c r="G14" i="6"/>
  <c r="G15" i="6"/>
  <c r="G4" i="6"/>
  <c r="G3" i="6"/>
  <c r="G48" i="8" l="1"/>
  <c r="G49" i="8" s="1"/>
  <c r="G7" i="8"/>
  <c r="G8" i="8" s="1"/>
  <c r="G9" i="8" s="1"/>
  <c r="G16" i="6"/>
  <c r="G16" i="7"/>
  <c r="S6" i="2" l="1"/>
  <c r="R6" i="2"/>
  <c r="Q6" i="2"/>
  <c r="P6" i="2"/>
  <c r="O6" i="2"/>
  <c r="F7" i="2"/>
  <c r="F6" i="2"/>
  <c r="G7" i="2"/>
  <c r="G6" i="2"/>
  <c r="S7" i="2"/>
  <c r="R7" i="2"/>
  <c r="Q7" i="2"/>
  <c r="P7" i="2"/>
  <c r="O7" i="2"/>
  <c r="F38" i="1"/>
  <c r="T6" i="2" l="1"/>
  <c r="T7" i="2"/>
  <c r="O8" i="2"/>
  <c r="O11" i="2" s="1"/>
  <c r="R8" i="2"/>
  <c r="R11" i="2" s="1"/>
  <c r="S8" i="2"/>
  <c r="C18" i="2" s="1"/>
  <c r="S18" i="2" s="1"/>
  <c r="T18" i="2" s="1"/>
  <c r="P8" i="2"/>
  <c r="P12" i="2" s="1"/>
  <c r="Q8" i="2"/>
  <c r="C16" i="2" s="1"/>
  <c r="S16" i="2" s="1"/>
  <c r="T16" i="2" s="1"/>
  <c r="J280" i="1"/>
  <c r="J279" i="1"/>
  <c r="H280" i="1"/>
  <c r="H279" i="1"/>
  <c r="I280" i="1"/>
  <c r="F279" i="1" s="1"/>
  <c r="I279" i="1"/>
  <c r="F280" i="1" s="1"/>
  <c r="I274" i="1"/>
  <c r="I273" i="1"/>
  <c r="I275" i="1"/>
  <c r="I276" i="1"/>
  <c r="I277" i="1"/>
  <c r="I272" i="1"/>
  <c r="F271" i="1" s="1"/>
  <c r="F277" i="1"/>
  <c r="F276" i="1"/>
  <c r="F275" i="1"/>
  <c r="F274" i="1"/>
  <c r="F273" i="1"/>
  <c r="H277" i="1"/>
  <c r="H276" i="1"/>
  <c r="H275" i="1"/>
  <c r="H274" i="1"/>
  <c r="H273" i="1"/>
  <c r="I269" i="1"/>
  <c r="G269" i="1" s="1"/>
  <c r="I268" i="1"/>
  <c r="G268" i="1" s="1"/>
  <c r="F269" i="1"/>
  <c r="F268" i="1"/>
  <c r="F264" i="1"/>
  <c r="F263" i="1"/>
  <c r="I263" i="1"/>
  <c r="G263" i="1" s="1"/>
  <c r="I264" i="1"/>
  <c r="G264" i="1" s="1"/>
  <c r="I258" i="1"/>
  <c r="I259" i="1"/>
  <c r="I257" i="1"/>
  <c r="F259" i="1"/>
  <c r="F256" i="1"/>
  <c r="F255" i="1"/>
  <c r="F254" i="1"/>
  <c r="F253" i="1"/>
  <c r="T253" i="1" s="1"/>
  <c r="I243" i="1"/>
  <c r="I244" i="1"/>
  <c r="I245" i="1"/>
  <c r="I242" i="1"/>
  <c r="I238" i="1"/>
  <c r="F239" i="1" s="1"/>
  <c r="I247" i="1"/>
  <c r="I248" i="1"/>
  <c r="I249" i="1"/>
  <c r="I246" i="1"/>
  <c r="H259" i="1"/>
  <c r="H258" i="1"/>
  <c r="F258" i="1"/>
  <c r="H257" i="1"/>
  <c r="F257" i="1"/>
  <c r="H256" i="1"/>
  <c r="G256" i="1" s="1"/>
  <c r="H255" i="1"/>
  <c r="G255" i="1" s="1"/>
  <c r="H254" i="1"/>
  <c r="G254" i="1" s="1"/>
  <c r="H253" i="1"/>
  <c r="G253" i="1" s="1"/>
  <c r="F249" i="1"/>
  <c r="F248" i="1"/>
  <c r="F247" i="1"/>
  <c r="F246" i="1"/>
  <c r="H246" i="1"/>
  <c r="H247" i="1"/>
  <c r="H248" i="1"/>
  <c r="H249" i="1"/>
  <c r="H243" i="1"/>
  <c r="H244" i="1"/>
  <c r="H245" i="1"/>
  <c r="H242" i="1"/>
  <c r="F245" i="1"/>
  <c r="F244" i="1"/>
  <c r="F243" i="1"/>
  <c r="F242" i="1"/>
  <c r="F241" i="1"/>
  <c r="G241" i="1"/>
  <c r="L272" i="1"/>
  <c r="K272" i="1"/>
  <c r="J272" i="1"/>
  <c r="H272" i="1"/>
  <c r="L271" i="1"/>
  <c r="I271" i="1"/>
  <c r="F272" i="1" s="1"/>
  <c r="H271" i="1"/>
  <c r="I267" i="1"/>
  <c r="F266" i="1" s="1"/>
  <c r="I266" i="1"/>
  <c r="F267" i="1" s="1"/>
  <c r="I262" i="1"/>
  <c r="F261" i="1" s="1"/>
  <c r="I261" i="1"/>
  <c r="F262" i="1" s="1"/>
  <c r="L252" i="1"/>
  <c r="K252" i="1"/>
  <c r="J252" i="1"/>
  <c r="I252" i="1"/>
  <c r="F251" i="1" s="1"/>
  <c r="H252" i="1"/>
  <c r="L251" i="1"/>
  <c r="K251" i="1"/>
  <c r="J251" i="1"/>
  <c r="I251" i="1"/>
  <c r="F252" i="1" s="1"/>
  <c r="H251" i="1"/>
  <c r="G240" i="1"/>
  <c r="L239" i="1"/>
  <c r="K239" i="1"/>
  <c r="J239" i="1"/>
  <c r="I239" i="1"/>
  <c r="H239" i="1"/>
  <c r="H238" i="1"/>
  <c r="K216" i="1"/>
  <c r="J216" i="1"/>
  <c r="I216" i="1"/>
  <c r="H216" i="1"/>
  <c r="K215" i="1"/>
  <c r="J215" i="1"/>
  <c r="I215" i="1"/>
  <c r="H215" i="1"/>
  <c r="K214" i="1"/>
  <c r="J214" i="1"/>
  <c r="I214" i="1"/>
  <c r="H214" i="1"/>
  <c r="J213" i="1"/>
  <c r="I213" i="1"/>
  <c r="H213" i="1"/>
  <c r="J212" i="1"/>
  <c r="I212" i="1"/>
  <c r="H212" i="1"/>
  <c r="J211" i="1"/>
  <c r="H211" i="1"/>
  <c r="J210" i="1"/>
  <c r="H210" i="1"/>
  <c r="K208" i="1"/>
  <c r="J208" i="1"/>
  <c r="I208" i="1"/>
  <c r="H208" i="1"/>
  <c r="K207" i="1"/>
  <c r="J207" i="1"/>
  <c r="I207" i="1"/>
  <c r="H207" i="1"/>
  <c r="K206" i="1"/>
  <c r="J206" i="1"/>
  <c r="I206" i="1"/>
  <c r="H206" i="1"/>
  <c r="J205" i="1"/>
  <c r="I205" i="1"/>
  <c r="H205" i="1"/>
  <c r="J204" i="1"/>
  <c r="H204" i="1"/>
  <c r="J203" i="1"/>
  <c r="H203" i="1"/>
  <c r="K201" i="1"/>
  <c r="J201" i="1"/>
  <c r="I201" i="1"/>
  <c r="H201" i="1"/>
  <c r="K200" i="1"/>
  <c r="J200" i="1"/>
  <c r="I200" i="1"/>
  <c r="H200" i="1"/>
  <c r="K199" i="1"/>
  <c r="J199" i="1"/>
  <c r="I199" i="1"/>
  <c r="H199" i="1"/>
  <c r="J198" i="1"/>
  <c r="H198" i="1"/>
  <c r="J197" i="1"/>
  <c r="H197" i="1"/>
  <c r="J196" i="1"/>
  <c r="H196" i="1"/>
  <c r="K194" i="1"/>
  <c r="J194" i="1"/>
  <c r="I194" i="1"/>
  <c r="H194" i="1"/>
  <c r="K193" i="1"/>
  <c r="J193" i="1"/>
  <c r="I193" i="1"/>
  <c r="H193" i="1"/>
  <c r="K192" i="1"/>
  <c r="J192" i="1"/>
  <c r="I192" i="1"/>
  <c r="H192" i="1"/>
  <c r="J191" i="1"/>
  <c r="H191" i="1"/>
  <c r="J190" i="1"/>
  <c r="I190" i="1"/>
  <c r="H190" i="1"/>
  <c r="J189" i="1"/>
  <c r="I189" i="1"/>
  <c r="H189" i="1"/>
  <c r="J188" i="1"/>
  <c r="H188" i="1"/>
  <c r="K186" i="1"/>
  <c r="J186" i="1"/>
  <c r="I186" i="1"/>
  <c r="H186" i="1"/>
  <c r="K185" i="1"/>
  <c r="J185" i="1"/>
  <c r="I185" i="1"/>
  <c r="H185" i="1"/>
  <c r="K184" i="1"/>
  <c r="J184" i="1"/>
  <c r="I184" i="1"/>
  <c r="H184" i="1"/>
  <c r="J183" i="1"/>
  <c r="H183" i="1"/>
  <c r="J182" i="1"/>
  <c r="I182" i="1"/>
  <c r="H182" i="1"/>
  <c r="J181" i="1"/>
  <c r="H181" i="1"/>
  <c r="K179" i="1"/>
  <c r="J179" i="1"/>
  <c r="I179" i="1"/>
  <c r="H179" i="1"/>
  <c r="F179" i="1"/>
  <c r="K178" i="1"/>
  <c r="J178" i="1"/>
  <c r="I178" i="1"/>
  <c r="H178" i="1"/>
  <c r="F178" i="1"/>
  <c r="K177" i="1"/>
  <c r="J177" i="1"/>
  <c r="I177" i="1"/>
  <c r="H177" i="1"/>
  <c r="F177" i="1"/>
  <c r="J176" i="1"/>
  <c r="H176" i="1"/>
  <c r="J175" i="1"/>
  <c r="H175" i="1"/>
  <c r="J174" i="1"/>
  <c r="H174" i="1"/>
  <c r="J173" i="1"/>
  <c r="H173" i="1"/>
  <c r="K171" i="1"/>
  <c r="J171" i="1"/>
  <c r="I171" i="1"/>
  <c r="H171" i="1"/>
  <c r="F171" i="1"/>
  <c r="K170" i="1"/>
  <c r="J170" i="1"/>
  <c r="I170" i="1"/>
  <c r="H170" i="1"/>
  <c r="F170" i="1"/>
  <c r="K169" i="1"/>
  <c r="J169" i="1"/>
  <c r="I169" i="1"/>
  <c r="H169" i="1"/>
  <c r="F169" i="1"/>
  <c r="J168" i="1"/>
  <c r="H168" i="1"/>
  <c r="J167" i="1"/>
  <c r="I167" i="1"/>
  <c r="H167" i="1"/>
  <c r="J166" i="1"/>
  <c r="H166" i="1"/>
  <c r="K164" i="1"/>
  <c r="J164" i="1"/>
  <c r="I164" i="1"/>
  <c r="H164" i="1"/>
  <c r="F164" i="1"/>
  <c r="K163" i="1"/>
  <c r="J163" i="1"/>
  <c r="I163" i="1"/>
  <c r="H163" i="1"/>
  <c r="F163" i="1"/>
  <c r="K162" i="1"/>
  <c r="J162" i="1"/>
  <c r="I162" i="1"/>
  <c r="H162" i="1"/>
  <c r="F162" i="1"/>
  <c r="J161" i="1"/>
  <c r="H161" i="1"/>
  <c r="J160" i="1"/>
  <c r="I160" i="1"/>
  <c r="H160" i="1"/>
  <c r="J159" i="1"/>
  <c r="I159" i="1"/>
  <c r="H159" i="1"/>
  <c r="J158" i="1"/>
  <c r="H158" i="1"/>
  <c r="K156" i="1"/>
  <c r="J156" i="1"/>
  <c r="I156" i="1"/>
  <c r="H156" i="1"/>
  <c r="F156" i="1"/>
  <c r="K155" i="1"/>
  <c r="J155" i="1"/>
  <c r="I155" i="1"/>
  <c r="H155" i="1"/>
  <c r="F155" i="1"/>
  <c r="K154" i="1"/>
  <c r="J154" i="1"/>
  <c r="I154" i="1"/>
  <c r="H154" i="1"/>
  <c r="F154" i="1"/>
  <c r="J153" i="1"/>
  <c r="H153" i="1"/>
  <c r="J152" i="1"/>
  <c r="I152" i="1"/>
  <c r="H152" i="1"/>
  <c r="J151" i="1"/>
  <c r="H151" i="1"/>
  <c r="K149" i="1"/>
  <c r="J149" i="1"/>
  <c r="I149" i="1"/>
  <c r="H149" i="1"/>
  <c r="F149" i="1"/>
  <c r="K148" i="1"/>
  <c r="J148" i="1"/>
  <c r="I148" i="1"/>
  <c r="H148" i="1"/>
  <c r="F148" i="1"/>
  <c r="K147" i="1"/>
  <c r="J147" i="1"/>
  <c r="I147" i="1"/>
  <c r="H147" i="1"/>
  <c r="F147" i="1"/>
  <c r="J146" i="1"/>
  <c r="H146" i="1"/>
  <c r="J145" i="1"/>
  <c r="H145" i="1"/>
  <c r="J144" i="1"/>
  <c r="H144" i="1"/>
  <c r="K142" i="1"/>
  <c r="J142" i="1"/>
  <c r="I142" i="1"/>
  <c r="H142" i="1"/>
  <c r="F142" i="1"/>
  <c r="K141" i="1"/>
  <c r="J141" i="1"/>
  <c r="I141" i="1"/>
  <c r="H141" i="1"/>
  <c r="F141" i="1"/>
  <c r="K140" i="1"/>
  <c r="J140" i="1"/>
  <c r="I140" i="1"/>
  <c r="H140" i="1"/>
  <c r="F140" i="1"/>
  <c r="J139" i="1"/>
  <c r="H139" i="1"/>
  <c r="J138" i="1"/>
  <c r="H138" i="1"/>
  <c r="K136" i="1"/>
  <c r="J136" i="1"/>
  <c r="I136" i="1"/>
  <c r="H136" i="1"/>
  <c r="F136" i="1"/>
  <c r="K135" i="1"/>
  <c r="J135" i="1"/>
  <c r="I135" i="1"/>
  <c r="H135" i="1"/>
  <c r="F135" i="1"/>
  <c r="K134" i="1"/>
  <c r="J134" i="1"/>
  <c r="I134" i="1"/>
  <c r="H134" i="1"/>
  <c r="F134" i="1"/>
  <c r="J133" i="1"/>
  <c r="H133" i="1"/>
  <c r="J132" i="1"/>
  <c r="H132" i="1"/>
  <c r="K130" i="1"/>
  <c r="J130" i="1"/>
  <c r="I130" i="1"/>
  <c r="H130" i="1"/>
  <c r="F130" i="1"/>
  <c r="K129" i="1"/>
  <c r="J129" i="1"/>
  <c r="I129" i="1"/>
  <c r="H129" i="1"/>
  <c r="F129" i="1"/>
  <c r="K128" i="1"/>
  <c r="J128" i="1"/>
  <c r="I128" i="1"/>
  <c r="H128" i="1"/>
  <c r="F128" i="1"/>
  <c r="J127" i="1"/>
  <c r="H127" i="1"/>
  <c r="J126" i="1"/>
  <c r="H126" i="1"/>
  <c r="J124" i="1"/>
  <c r="H124" i="1"/>
  <c r="K123" i="1"/>
  <c r="J123" i="1"/>
  <c r="I123" i="1"/>
  <c r="H123" i="1"/>
  <c r="F123" i="1"/>
  <c r="K122" i="1"/>
  <c r="J122" i="1"/>
  <c r="I122" i="1"/>
  <c r="H122" i="1"/>
  <c r="F122" i="1"/>
  <c r="K121" i="1"/>
  <c r="J121" i="1"/>
  <c r="I121" i="1"/>
  <c r="H121" i="1"/>
  <c r="F121" i="1"/>
  <c r="J120" i="1"/>
  <c r="H120" i="1"/>
  <c r="J119" i="1"/>
  <c r="H119" i="1"/>
  <c r="J118" i="1"/>
  <c r="H118" i="1"/>
  <c r="J117" i="1"/>
  <c r="H117" i="1"/>
  <c r="J115" i="1"/>
  <c r="H115" i="1"/>
  <c r="K114" i="1"/>
  <c r="J114" i="1"/>
  <c r="I114" i="1"/>
  <c r="H114" i="1"/>
  <c r="F114" i="1"/>
  <c r="K113" i="1"/>
  <c r="J113" i="1"/>
  <c r="I113" i="1"/>
  <c r="H113" i="1"/>
  <c r="F113" i="1"/>
  <c r="K112" i="1"/>
  <c r="J112" i="1"/>
  <c r="I112" i="1"/>
  <c r="H112" i="1"/>
  <c r="F112" i="1"/>
  <c r="J111" i="1"/>
  <c r="H111" i="1"/>
  <c r="J110" i="1"/>
  <c r="H110" i="1"/>
  <c r="J109" i="1"/>
  <c r="H109" i="1"/>
  <c r="J108" i="1"/>
  <c r="H108" i="1"/>
  <c r="J106" i="1"/>
  <c r="H106" i="1"/>
  <c r="K105" i="1"/>
  <c r="J105" i="1"/>
  <c r="I105" i="1"/>
  <c r="H105" i="1"/>
  <c r="F105" i="1"/>
  <c r="K104" i="1"/>
  <c r="J104" i="1"/>
  <c r="I104" i="1"/>
  <c r="H104" i="1"/>
  <c r="F104" i="1"/>
  <c r="K103" i="1"/>
  <c r="J103" i="1"/>
  <c r="I103" i="1"/>
  <c r="H103" i="1"/>
  <c r="F103" i="1"/>
  <c r="J102" i="1"/>
  <c r="H102" i="1"/>
  <c r="J101" i="1"/>
  <c r="H101" i="1"/>
  <c r="J100" i="1"/>
  <c r="H100" i="1"/>
  <c r="J99" i="1"/>
  <c r="H99" i="1"/>
  <c r="J97" i="1"/>
  <c r="H97" i="1"/>
  <c r="K96" i="1"/>
  <c r="J96" i="1"/>
  <c r="I96" i="1"/>
  <c r="H96" i="1"/>
  <c r="F96" i="1"/>
  <c r="K95" i="1"/>
  <c r="J95" i="1"/>
  <c r="I95" i="1"/>
  <c r="H95" i="1"/>
  <c r="F95" i="1"/>
  <c r="K94" i="1"/>
  <c r="J94" i="1"/>
  <c r="I94" i="1"/>
  <c r="H94" i="1"/>
  <c r="F94" i="1"/>
  <c r="J93" i="1"/>
  <c r="H93" i="1"/>
  <c r="J92" i="1"/>
  <c r="H92" i="1"/>
  <c r="J90" i="1"/>
  <c r="H90" i="1"/>
  <c r="K89" i="1"/>
  <c r="J89" i="1"/>
  <c r="I89" i="1"/>
  <c r="H89" i="1"/>
  <c r="F89" i="1"/>
  <c r="K88" i="1"/>
  <c r="J88" i="1"/>
  <c r="I88" i="1"/>
  <c r="H88" i="1"/>
  <c r="F88" i="1"/>
  <c r="K87" i="1"/>
  <c r="J87" i="1"/>
  <c r="I87" i="1"/>
  <c r="H87" i="1"/>
  <c r="F87" i="1"/>
  <c r="J86" i="1"/>
  <c r="H86" i="1"/>
  <c r="J85" i="1"/>
  <c r="H85" i="1"/>
  <c r="J83" i="1"/>
  <c r="H83" i="1"/>
  <c r="K82" i="1"/>
  <c r="J82" i="1"/>
  <c r="I82" i="1"/>
  <c r="H82" i="1"/>
  <c r="F82" i="1"/>
  <c r="K81" i="1"/>
  <c r="J81" i="1"/>
  <c r="I81" i="1"/>
  <c r="H81" i="1"/>
  <c r="F81" i="1"/>
  <c r="K80" i="1"/>
  <c r="J80" i="1"/>
  <c r="I80" i="1"/>
  <c r="H80" i="1"/>
  <c r="F80" i="1"/>
  <c r="J79" i="1"/>
  <c r="H79" i="1"/>
  <c r="J78" i="1"/>
  <c r="H78" i="1"/>
  <c r="J76" i="1"/>
  <c r="H76" i="1"/>
  <c r="K75" i="1"/>
  <c r="I75" i="1"/>
  <c r="F75" i="1"/>
  <c r="K74" i="1"/>
  <c r="I74" i="1"/>
  <c r="F74" i="1"/>
  <c r="K73" i="1"/>
  <c r="I73" i="1"/>
  <c r="F73" i="1"/>
  <c r="J72" i="1"/>
  <c r="I72" i="1"/>
  <c r="H72" i="1"/>
  <c r="J71" i="1"/>
  <c r="I71" i="1"/>
  <c r="H71" i="1"/>
  <c r="J70" i="1"/>
  <c r="H70" i="1"/>
  <c r="J69" i="1"/>
  <c r="H69" i="1"/>
  <c r="J68" i="1"/>
  <c r="H68" i="1"/>
  <c r="J67" i="1"/>
  <c r="H67" i="1"/>
  <c r="J65" i="1"/>
  <c r="H65" i="1"/>
  <c r="K64" i="1"/>
  <c r="J64" i="1"/>
  <c r="I64" i="1"/>
  <c r="H64" i="1"/>
  <c r="F64" i="1"/>
  <c r="K63" i="1"/>
  <c r="J63" i="1"/>
  <c r="I63" i="1"/>
  <c r="H63" i="1"/>
  <c r="F63" i="1"/>
  <c r="K62" i="1"/>
  <c r="J62" i="1"/>
  <c r="I62" i="1"/>
  <c r="H62" i="1"/>
  <c r="F62" i="1"/>
  <c r="J61" i="1"/>
  <c r="I61" i="1"/>
  <c r="H61" i="1"/>
  <c r="J60" i="1"/>
  <c r="I60" i="1"/>
  <c r="H60" i="1"/>
  <c r="J59" i="1"/>
  <c r="I59" i="1"/>
  <c r="H59" i="1"/>
  <c r="J58" i="1"/>
  <c r="I58" i="1"/>
  <c r="H58" i="1"/>
  <c r="J57" i="1"/>
  <c r="H57" i="1"/>
  <c r="J56" i="1"/>
  <c r="H56" i="1"/>
  <c r="J55" i="1"/>
  <c r="H55" i="1"/>
  <c r="J54" i="1"/>
  <c r="H54" i="1"/>
  <c r="J52" i="1"/>
  <c r="H52" i="1"/>
  <c r="K51" i="1"/>
  <c r="J51" i="1"/>
  <c r="I51" i="1"/>
  <c r="H51" i="1"/>
  <c r="F51" i="1"/>
  <c r="K50" i="1"/>
  <c r="J50" i="1"/>
  <c r="I50" i="1"/>
  <c r="H50" i="1"/>
  <c r="F50" i="1"/>
  <c r="K49" i="1"/>
  <c r="J49" i="1"/>
  <c r="I49" i="1"/>
  <c r="H49" i="1"/>
  <c r="F49" i="1"/>
  <c r="J48" i="1"/>
  <c r="I48" i="1"/>
  <c r="H48" i="1"/>
  <c r="J47" i="1"/>
  <c r="I47" i="1"/>
  <c r="H47" i="1"/>
  <c r="J46" i="1"/>
  <c r="I46" i="1"/>
  <c r="H46" i="1"/>
  <c r="J45" i="1"/>
  <c r="I45" i="1"/>
  <c r="H45" i="1"/>
  <c r="J44" i="1"/>
  <c r="H44" i="1"/>
  <c r="J43" i="1"/>
  <c r="H43" i="1"/>
  <c r="J42" i="1"/>
  <c r="H42" i="1"/>
  <c r="J41" i="1"/>
  <c r="H41" i="1"/>
  <c r="J39" i="1"/>
  <c r="H39" i="1"/>
  <c r="K38" i="1"/>
  <c r="J38" i="1"/>
  <c r="I38" i="1"/>
  <c r="H38" i="1"/>
  <c r="K37" i="1"/>
  <c r="J37" i="1"/>
  <c r="I37" i="1"/>
  <c r="H37" i="1"/>
  <c r="F37" i="1"/>
  <c r="K36" i="1"/>
  <c r="J36" i="1"/>
  <c r="I36" i="1"/>
  <c r="H36" i="1"/>
  <c r="F36" i="1"/>
  <c r="J35" i="1"/>
  <c r="H35" i="1"/>
  <c r="J34" i="1"/>
  <c r="I34" i="1"/>
  <c r="H34" i="1"/>
  <c r="J33" i="1"/>
  <c r="I33" i="1"/>
  <c r="H33" i="1"/>
  <c r="J32" i="1"/>
  <c r="I32" i="1"/>
  <c r="H32" i="1"/>
  <c r="J31" i="1"/>
  <c r="I31" i="1"/>
  <c r="H31" i="1"/>
  <c r="J30" i="1"/>
  <c r="H30" i="1"/>
  <c r="J29" i="1"/>
  <c r="H29" i="1"/>
  <c r="J28" i="1"/>
  <c r="H28" i="1"/>
  <c r="J27" i="1"/>
  <c r="H27" i="1"/>
  <c r="J25" i="1"/>
  <c r="H25" i="1"/>
  <c r="K24" i="1"/>
  <c r="J24" i="1"/>
  <c r="I24" i="1"/>
  <c r="H24" i="1"/>
  <c r="F24" i="1"/>
  <c r="K23" i="1"/>
  <c r="J23" i="1"/>
  <c r="I23" i="1"/>
  <c r="H23" i="1"/>
  <c r="F23" i="1"/>
  <c r="K22" i="1"/>
  <c r="J22" i="1"/>
  <c r="I22" i="1"/>
  <c r="H22" i="1"/>
  <c r="F22" i="1"/>
  <c r="J21" i="1"/>
  <c r="I21" i="1"/>
  <c r="H21" i="1"/>
  <c r="J20" i="1"/>
  <c r="I20" i="1"/>
  <c r="H20" i="1"/>
  <c r="J19" i="1"/>
  <c r="H19" i="1"/>
  <c r="J18" i="1"/>
  <c r="H18" i="1"/>
  <c r="J17" i="1"/>
  <c r="H17" i="1"/>
  <c r="J16" i="1"/>
  <c r="H16" i="1"/>
  <c r="J14" i="1"/>
  <c r="H14" i="1"/>
  <c r="K13" i="1"/>
  <c r="J13" i="1"/>
  <c r="I13" i="1"/>
  <c r="H13" i="1"/>
  <c r="F13" i="1"/>
  <c r="K12" i="1"/>
  <c r="J12" i="1"/>
  <c r="I12" i="1"/>
  <c r="H12" i="1"/>
  <c r="F12" i="1"/>
  <c r="K11" i="1"/>
  <c r="J11" i="1"/>
  <c r="I11" i="1"/>
  <c r="H11" i="1"/>
  <c r="F11" i="1"/>
  <c r="J10" i="1"/>
  <c r="H10" i="1"/>
  <c r="J9" i="1"/>
  <c r="H9" i="1"/>
  <c r="J8" i="1"/>
  <c r="H8" i="1"/>
  <c r="T7" i="1"/>
  <c r="S7" i="1"/>
  <c r="R7" i="1"/>
  <c r="Q7" i="1"/>
  <c r="O7" i="1"/>
  <c r="O290" i="1" s="1"/>
  <c r="J7" i="1"/>
  <c r="H7" i="1"/>
  <c r="T268" i="1" l="1"/>
  <c r="T254" i="1"/>
  <c r="T269" i="1"/>
  <c r="T263" i="1"/>
  <c r="T74" i="1"/>
  <c r="S241" i="1"/>
  <c r="T255" i="1"/>
  <c r="T256" i="1"/>
  <c r="T264" i="1"/>
  <c r="F240" i="1"/>
  <c r="S240" i="1" s="1"/>
  <c r="F238" i="1"/>
  <c r="R12" i="2"/>
  <c r="T8" i="2"/>
  <c r="T12" i="2" s="1"/>
  <c r="C17" i="2"/>
  <c r="S17" i="2" s="1"/>
  <c r="T17" i="2" s="1"/>
  <c r="O12" i="2"/>
  <c r="C14" i="2"/>
  <c r="S14" i="2" s="1"/>
  <c r="T14" i="2" s="1"/>
  <c r="S12" i="2"/>
  <c r="C15" i="2"/>
  <c r="S15" i="2" s="1"/>
  <c r="T15" i="2" s="1"/>
  <c r="S11" i="2"/>
  <c r="P11" i="2"/>
  <c r="Q12" i="2"/>
  <c r="Q11" i="2"/>
  <c r="G277" i="1"/>
  <c r="T277" i="1" s="1"/>
  <c r="G275" i="1"/>
  <c r="T275" i="1" s="1"/>
  <c r="G279" i="1"/>
  <c r="S279" i="1" s="1"/>
  <c r="G280" i="1"/>
  <c r="S280" i="1" s="1"/>
  <c r="C296" i="1"/>
  <c r="S296" i="1" s="1"/>
  <c r="G273" i="1"/>
  <c r="T273" i="1" s="1"/>
  <c r="G276" i="1"/>
  <c r="T276" i="1" s="1"/>
  <c r="G274" i="1"/>
  <c r="T274" i="1" s="1"/>
  <c r="G259" i="1"/>
  <c r="T259" i="1" s="1"/>
  <c r="G258" i="1"/>
  <c r="T258" i="1" s="1"/>
  <c r="G247" i="1"/>
  <c r="T247" i="1" s="1"/>
  <c r="G257" i="1"/>
  <c r="T257" i="1" s="1"/>
  <c r="G248" i="1"/>
  <c r="T248" i="1" s="1"/>
  <c r="G242" i="1"/>
  <c r="T242" i="1" s="1"/>
  <c r="G246" i="1"/>
  <c r="T246" i="1" s="1"/>
  <c r="G245" i="1"/>
  <c r="T245" i="1" s="1"/>
  <c r="G244" i="1"/>
  <c r="T244" i="1" s="1"/>
  <c r="G243" i="1"/>
  <c r="T243" i="1" s="1"/>
  <c r="G249" i="1"/>
  <c r="T249" i="1" s="1"/>
  <c r="G108" i="1"/>
  <c r="Q108" i="1" s="1"/>
  <c r="G266" i="1"/>
  <c r="T266" i="1" s="1"/>
  <c r="G238" i="1"/>
  <c r="G139" i="1"/>
  <c r="Q139" i="1" s="1"/>
  <c r="G132" i="1"/>
  <c r="Q132" i="1" s="1"/>
  <c r="G133" i="1"/>
  <c r="Q133" i="1" s="1"/>
  <c r="G262" i="1"/>
  <c r="T262" i="1" s="1"/>
  <c r="G261" i="1"/>
  <c r="T261" i="1" s="1"/>
  <c r="G127" i="1"/>
  <c r="Q127" i="1" s="1"/>
  <c r="G117" i="1"/>
  <c r="Q117" i="1" s="1"/>
  <c r="G118" i="1"/>
  <c r="R118" i="1" s="1"/>
  <c r="G120" i="1"/>
  <c r="R120" i="1" s="1"/>
  <c r="G100" i="1"/>
  <c r="R100" i="1" s="1"/>
  <c r="G239" i="1"/>
  <c r="S239" i="1" s="1"/>
  <c r="G138" i="1"/>
  <c r="Q138" i="1" s="1"/>
  <c r="G251" i="1"/>
  <c r="S251" i="1" s="1"/>
  <c r="G99" i="1"/>
  <c r="Q99" i="1" s="1"/>
  <c r="G115" i="1"/>
  <c r="S115" i="1" s="1"/>
  <c r="G271" i="1"/>
  <c r="S271" i="1" s="1"/>
  <c r="G272" i="1"/>
  <c r="T272" i="1" s="1"/>
  <c r="G64" i="1"/>
  <c r="T64" i="1" s="1"/>
  <c r="G252" i="1"/>
  <c r="S252" i="1" s="1"/>
  <c r="G267" i="1"/>
  <c r="T267" i="1" s="1"/>
  <c r="G192" i="1"/>
  <c r="T192" i="1" s="1"/>
  <c r="G74" i="1"/>
  <c r="G124" i="1"/>
  <c r="S124" i="1" s="1"/>
  <c r="G25" i="1"/>
  <c r="S25" i="1" s="1"/>
  <c r="G61" i="1"/>
  <c r="Q61" i="1" s="1"/>
  <c r="G18" i="1"/>
  <c r="P18" i="1" s="1"/>
  <c r="G175" i="1"/>
  <c r="Q175" i="1" s="1"/>
  <c r="G13" i="1"/>
  <c r="T13" i="1" s="1"/>
  <c r="G76" i="1"/>
  <c r="S76" i="1" s="1"/>
  <c r="G163" i="1"/>
  <c r="T163" i="1" s="1"/>
  <c r="G170" i="1"/>
  <c r="T170" i="1" s="1"/>
  <c r="G166" i="1"/>
  <c r="Q166" i="1" s="1"/>
  <c r="G106" i="1"/>
  <c r="S106" i="1" s="1"/>
  <c r="G65" i="1"/>
  <c r="S65" i="1" s="1"/>
  <c r="G121" i="1"/>
  <c r="T121" i="1" s="1"/>
  <c r="G9" i="1"/>
  <c r="P9" i="1" s="1"/>
  <c r="G23" i="1"/>
  <c r="T23" i="1" s="1"/>
  <c r="G58" i="1"/>
  <c r="P58" i="1" s="1"/>
  <c r="G210" i="1"/>
  <c r="Q210" i="1" s="1"/>
  <c r="G161" i="1"/>
  <c r="Q161" i="1" s="1"/>
  <c r="G155" i="1"/>
  <c r="T155" i="1" s="1"/>
  <c r="G178" i="1"/>
  <c r="T178" i="1" s="1"/>
  <c r="G185" i="1"/>
  <c r="T185" i="1" s="1"/>
  <c r="G31" i="1"/>
  <c r="P31" i="1" s="1"/>
  <c r="G37" i="1"/>
  <c r="T37" i="1" s="1"/>
  <c r="G60" i="1"/>
  <c r="P60" i="1" s="1"/>
  <c r="G126" i="1"/>
  <c r="Q126" i="1" s="1"/>
  <c r="G130" i="1"/>
  <c r="T130" i="1" s="1"/>
  <c r="G136" i="1"/>
  <c r="T136" i="1" s="1"/>
  <c r="G159" i="1"/>
  <c r="Q159" i="1" s="1"/>
  <c r="G14" i="1"/>
  <c r="S14" i="1" s="1"/>
  <c r="G55" i="1"/>
  <c r="Q55" i="1" s="1"/>
  <c r="G216" i="1"/>
  <c r="T216" i="1" s="1"/>
  <c r="G109" i="1"/>
  <c r="R109" i="1" s="1"/>
  <c r="G200" i="1"/>
  <c r="T200" i="1" s="1"/>
  <c r="G7" i="1"/>
  <c r="P7" i="1" s="1"/>
  <c r="G8" i="1"/>
  <c r="Q8" i="1" s="1"/>
  <c r="G41" i="1"/>
  <c r="P41" i="1" s="1"/>
  <c r="G50" i="1"/>
  <c r="T50" i="1" s="1"/>
  <c r="G69" i="1"/>
  <c r="P69" i="1" s="1"/>
  <c r="G93" i="1"/>
  <c r="Q93" i="1" s="1"/>
  <c r="G97" i="1"/>
  <c r="S97" i="1" s="1"/>
  <c r="G147" i="1"/>
  <c r="T147" i="1" s="1"/>
  <c r="G164" i="1"/>
  <c r="T164" i="1" s="1"/>
  <c r="G181" i="1"/>
  <c r="Q181" i="1" s="1"/>
  <c r="G112" i="1"/>
  <c r="T112" i="1" s="1"/>
  <c r="G87" i="1"/>
  <c r="T87" i="1" s="1"/>
  <c r="G89" i="1"/>
  <c r="T89" i="1" s="1"/>
  <c r="G90" i="1"/>
  <c r="S90" i="1" s="1"/>
  <c r="G102" i="1"/>
  <c r="R102" i="1" s="1"/>
  <c r="G167" i="1"/>
  <c r="Q167" i="1" s="1"/>
  <c r="G174" i="1"/>
  <c r="R174" i="1" s="1"/>
  <c r="G205" i="1"/>
  <c r="R205" i="1" s="1"/>
  <c r="G104" i="1"/>
  <c r="T104" i="1" s="1"/>
  <c r="G186" i="1"/>
  <c r="T186" i="1" s="1"/>
  <c r="G52" i="1"/>
  <c r="S52" i="1" s="1"/>
  <c r="G158" i="1"/>
  <c r="Q158" i="1" s="1"/>
  <c r="G36" i="1"/>
  <c r="T36" i="1" s="1"/>
  <c r="G54" i="1"/>
  <c r="P54" i="1" s="1"/>
  <c r="G149" i="1"/>
  <c r="T149" i="1" s="1"/>
  <c r="G168" i="1"/>
  <c r="Q168" i="1" s="1"/>
  <c r="G182" i="1"/>
  <c r="Q182" i="1" s="1"/>
  <c r="G204" i="1"/>
  <c r="Q204" i="1" s="1"/>
  <c r="G211" i="1"/>
  <c r="Q211" i="1" s="1"/>
  <c r="G212" i="1"/>
  <c r="R212" i="1" s="1"/>
  <c r="G22" i="1"/>
  <c r="T22" i="1" s="1"/>
  <c r="G28" i="1"/>
  <c r="Q28" i="1" s="1"/>
  <c r="G79" i="1"/>
  <c r="Q79" i="1" s="1"/>
  <c r="G119" i="1"/>
  <c r="Q119" i="1" s="1"/>
  <c r="G59" i="1"/>
  <c r="Q59" i="1" s="1"/>
  <c r="G63" i="1"/>
  <c r="T63" i="1" s="1"/>
  <c r="G95" i="1"/>
  <c r="T95" i="1" s="1"/>
  <c r="G42" i="1"/>
  <c r="Q42" i="1" s="1"/>
  <c r="G142" i="1"/>
  <c r="T142" i="1" s="1"/>
  <c r="G46" i="1"/>
  <c r="Q46" i="1" s="1"/>
  <c r="G103" i="1"/>
  <c r="T103" i="1" s="1"/>
  <c r="G129" i="1"/>
  <c r="T129" i="1" s="1"/>
  <c r="G201" i="1"/>
  <c r="T201" i="1" s="1"/>
  <c r="G203" i="1"/>
  <c r="Q203" i="1" s="1"/>
  <c r="G12" i="1"/>
  <c r="T12" i="1" s="1"/>
  <c r="G73" i="1"/>
  <c r="T73" i="1" s="1"/>
  <c r="G80" i="1"/>
  <c r="T80" i="1" s="1"/>
  <c r="G24" i="1"/>
  <c r="T24" i="1" s="1"/>
  <c r="G82" i="1"/>
  <c r="T82" i="1" s="1"/>
  <c r="G92" i="1"/>
  <c r="Q92" i="1" s="1"/>
  <c r="G198" i="1"/>
  <c r="Q198" i="1" s="1"/>
  <c r="G27" i="1"/>
  <c r="P27" i="1" s="1"/>
  <c r="G29" i="1"/>
  <c r="P29" i="1" s="1"/>
  <c r="G30" i="1"/>
  <c r="Q30" i="1" s="1"/>
  <c r="G39" i="1"/>
  <c r="S39" i="1" s="1"/>
  <c r="G78" i="1"/>
  <c r="Q78" i="1" s="1"/>
  <c r="G85" i="1"/>
  <c r="Q85" i="1" s="1"/>
  <c r="G86" i="1"/>
  <c r="Q86" i="1" s="1"/>
  <c r="G96" i="1"/>
  <c r="T96" i="1" s="1"/>
  <c r="G148" i="1"/>
  <c r="T148" i="1" s="1"/>
  <c r="G169" i="1"/>
  <c r="T169" i="1" s="1"/>
  <c r="G196" i="1"/>
  <c r="Q196" i="1" s="1"/>
  <c r="G208" i="1"/>
  <c r="T208" i="1" s="1"/>
  <c r="G32" i="1"/>
  <c r="Q32" i="1" s="1"/>
  <c r="G33" i="1"/>
  <c r="P33" i="1" s="1"/>
  <c r="G47" i="1"/>
  <c r="P47" i="1" s="1"/>
  <c r="G48" i="1"/>
  <c r="Q48" i="1" s="1"/>
  <c r="G83" i="1"/>
  <c r="S83" i="1" s="1"/>
  <c r="G113" i="1"/>
  <c r="T113" i="1" s="1"/>
  <c r="G128" i="1"/>
  <c r="T128" i="1" s="1"/>
  <c r="G134" i="1"/>
  <c r="T134" i="1" s="1"/>
  <c r="G162" i="1"/>
  <c r="T162" i="1" s="1"/>
  <c r="G171" i="1"/>
  <c r="T171" i="1" s="1"/>
  <c r="G179" i="1"/>
  <c r="T179" i="1" s="1"/>
  <c r="G206" i="1"/>
  <c r="T206" i="1" s="1"/>
  <c r="G213" i="1"/>
  <c r="R213" i="1" s="1"/>
  <c r="G16" i="1"/>
  <c r="P16" i="1" s="1"/>
  <c r="G17" i="1"/>
  <c r="Q17" i="1" s="1"/>
  <c r="G19" i="1"/>
  <c r="Q19" i="1" s="1"/>
  <c r="G34" i="1"/>
  <c r="Q34" i="1" s="1"/>
  <c r="G51" i="1"/>
  <c r="T51" i="1" s="1"/>
  <c r="G67" i="1"/>
  <c r="P67" i="1" s="1"/>
  <c r="G68" i="1"/>
  <c r="Q68" i="1" s="1"/>
  <c r="G70" i="1"/>
  <c r="Q70" i="1" s="1"/>
  <c r="G101" i="1"/>
  <c r="Q101" i="1" s="1"/>
  <c r="G105" i="1"/>
  <c r="T105" i="1" s="1"/>
  <c r="G123" i="1"/>
  <c r="T123" i="1" s="1"/>
  <c r="G141" i="1"/>
  <c r="T141" i="1" s="1"/>
  <c r="G144" i="1"/>
  <c r="R144" i="1" s="1"/>
  <c r="G146" i="1"/>
  <c r="R146" i="1" s="1"/>
  <c r="G151" i="1"/>
  <c r="Q151" i="1" s="1"/>
  <c r="G152" i="1"/>
  <c r="Q152" i="1" s="1"/>
  <c r="G156" i="1"/>
  <c r="T156" i="1" s="1"/>
  <c r="G173" i="1"/>
  <c r="Q173" i="1" s="1"/>
  <c r="G176" i="1"/>
  <c r="R176" i="1" s="1"/>
  <c r="G188" i="1"/>
  <c r="Q188" i="1" s="1"/>
  <c r="G189" i="1"/>
  <c r="Q189" i="1" s="1"/>
  <c r="G193" i="1"/>
  <c r="T193" i="1" s="1"/>
  <c r="G215" i="1"/>
  <c r="T215" i="1" s="1"/>
  <c r="G10" i="1"/>
  <c r="Q10" i="1" s="1"/>
  <c r="G11" i="1"/>
  <c r="T11" i="1" s="1"/>
  <c r="G20" i="1"/>
  <c r="P20" i="1" s="1"/>
  <c r="G21" i="1"/>
  <c r="Q21" i="1" s="1"/>
  <c r="G35" i="1"/>
  <c r="Q35" i="1" s="1"/>
  <c r="G38" i="1"/>
  <c r="T38" i="1" s="1"/>
  <c r="G62" i="1"/>
  <c r="T62" i="1" s="1"/>
  <c r="G71" i="1"/>
  <c r="P71" i="1" s="1"/>
  <c r="G72" i="1"/>
  <c r="Q72" i="1" s="1"/>
  <c r="G94" i="1"/>
  <c r="T94" i="1" s="1"/>
  <c r="G145" i="1"/>
  <c r="Q145" i="1" s="1"/>
  <c r="G153" i="1"/>
  <c r="Q153" i="1" s="1"/>
  <c r="G177" i="1"/>
  <c r="T177" i="1" s="1"/>
  <c r="G183" i="1"/>
  <c r="Q183" i="1" s="1"/>
  <c r="G190" i="1"/>
  <c r="Q190" i="1" s="1"/>
  <c r="G199" i="1"/>
  <c r="T199" i="1" s="1"/>
  <c r="G214" i="1"/>
  <c r="T214" i="1" s="1"/>
  <c r="G43" i="1"/>
  <c r="P43" i="1" s="1"/>
  <c r="G56" i="1"/>
  <c r="P56" i="1" s="1"/>
  <c r="G57" i="1"/>
  <c r="Q57" i="1" s="1"/>
  <c r="G75" i="1"/>
  <c r="T75" i="1" s="1"/>
  <c r="G81" i="1"/>
  <c r="T81" i="1" s="1"/>
  <c r="G88" i="1"/>
  <c r="T88" i="1" s="1"/>
  <c r="G122" i="1"/>
  <c r="T122" i="1" s="1"/>
  <c r="G135" i="1"/>
  <c r="T135" i="1" s="1"/>
  <c r="G140" i="1"/>
  <c r="T140" i="1" s="1"/>
  <c r="G154" i="1"/>
  <c r="T154" i="1" s="1"/>
  <c r="G184" i="1"/>
  <c r="T184" i="1" s="1"/>
  <c r="G44" i="1"/>
  <c r="Q44" i="1" s="1"/>
  <c r="G45" i="1"/>
  <c r="P45" i="1" s="1"/>
  <c r="G49" i="1"/>
  <c r="T49" i="1" s="1"/>
  <c r="G110" i="1"/>
  <c r="Q110" i="1" s="1"/>
  <c r="G111" i="1"/>
  <c r="R111" i="1" s="1"/>
  <c r="G114" i="1"/>
  <c r="T114" i="1" s="1"/>
  <c r="G160" i="1"/>
  <c r="Q160" i="1" s="1"/>
  <c r="G191" i="1"/>
  <c r="Q191" i="1" s="1"/>
  <c r="G194" i="1"/>
  <c r="T194" i="1" s="1"/>
  <c r="G197" i="1"/>
  <c r="P197" i="1" s="1"/>
  <c r="G207" i="1"/>
  <c r="T207" i="1" s="1"/>
  <c r="Q290" i="1" l="1"/>
  <c r="Q294" i="1" s="1"/>
  <c r="R290" i="1"/>
  <c r="T290" i="1"/>
  <c r="T293" i="1" s="1"/>
  <c r="P290" i="1"/>
  <c r="P293" i="1" s="1"/>
  <c r="S238" i="1"/>
  <c r="S290" i="1" s="1"/>
  <c r="C19" i="2"/>
  <c r="S19" i="2" s="1"/>
  <c r="T19" i="2" s="1"/>
  <c r="T11" i="2"/>
  <c r="R294" i="1"/>
  <c r="O294" i="1"/>
  <c r="O293" i="1"/>
  <c r="T296" i="1"/>
  <c r="S20" i="2" l="1"/>
  <c r="S21" i="2" s="1"/>
  <c r="S293" i="1"/>
  <c r="R293" i="1"/>
  <c r="C299" i="1"/>
  <c r="S299" i="1" s="1"/>
  <c r="T299" i="1" s="1"/>
  <c r="Q293" i="1"/>
  <c r="C298" i="1"/>
  <c r="S298" i="1" s="1"/>
  <c r="T298" i="1" s="1"/>
  <c r="C297" i="1"/>
  <c r="S297" i="1" s="1"/>
  <c r="T297" i="1" s="1"/>
  <c r="P294" i="1"/>
  <c r="T294" i="1"/>
  <c r="C301" i="1"/>
  <c r="S301" i="1" s="1"/>
  <c r="T301" i="1" s="1"/>
  <c r="T20" i="2" l="1"/>
  <c r="C300" i="1"/>
  <c r="S300" i="1" s="1"/>
  <c r="T300" i="1" s="1"/>
  <c r="S294" i="1"/>
  <c r="S302" i="1" l="1"/>
  <c r="S303" i="1" s="1"/>
  <c r="T302" i="1" l="1"/>
</calcChain>
</file>

<file path=xl/sharedStrings.xml><?xml version="1.0" encoding="utf-8"?>
<sst xmlns="http://schemas.openxmlformats.org/spreadsheetml/2006/main" count="748" uniqueCount="127">
  <si>
    <t>01. Name of Work</t>
  </si>
  <si>
    <t>:</t>
  </si>
  <si>
    <t>SLAB REINFORCEMENT</t>
  </si>
  <si>
    <t>02. Name of Contractor</t>
  </si>
  <si>
    <t>RECOMAX ENGINEERING PVT LTD</t>
  </si>
  <si>
    <t>S.No.</t>
  </si>
  <si>
    <t>Desc. Of Item</t>
  </si>
  <si>
    <t>Bar Dia</t>
  </si>
  <si>
    <t>Nos</t>
  </si>
  <si>
    <t>C.Length</t>
  </si>
  <si>
    <t>DED</t>
  </si>
  <si>
    <t>BBS</t>
  </si>
  <si>
    <t>A</t>
  </si>
  <si>
    <t>B</t>
  </si>
  <si>
    <t>C</t>
  </si>
  <si>
    <t>D</t>
  </si>
  <si>
    <t>E</t>
  </si>
  <si>
    <t>F</t>
  </si>
  <si>
    <t>2d</t>
  </si>
  <si>
    <t>25mm</t>
  </si>
  <si>
    <t>20mm</t>
  </si>
  <si>
    <t>16mm</t>
  </si>
  <si>
    <t>12mm</t>
  </si>
  <si>
    <t>10mm</t>
  </si>
  <si>
    <t>8mm</t>
  </si>
  <si>
    <t>I</t>
  </si>
  <si>
    <t xml:space="preserve"> </t>
  </si>
  <si>
    <t>B1a (300*750)</t>
  </si>
  <si>
    <t>Top Bar</t>
  </si>
  <si>
    <t>Bottom Bar</t>
  </si>
  <si>
    <t>Left Stirrups</t>
  </si>
  <si>
    <t>Right Stirrups</t>
  </si>
  <si>
    <t>Mid Stirrups</t>
  </si>
  <si>
    <t>SFR</t>
  </si>
  <si>
    <t>B1b (300*750)</t>
  </si>
  <si>
    <t>Second layer Top Bar</t>
  </si>
  <si>
    <t>B1c (300*750)</t>
  </si>
  <si>
    <t>Second layer Top Bar(EL)</t>
  </si>
  <si>
    <t>Second layer Top Bar (EL)</t>
  </si>
  <si>
    <t>Second layer Top Bar(ER)</t>
  </si>
  <si>
    <t>Second layer Top Bar (ER)</t>
  </si>
  <si>
    <t>Second Layer Bottom Bar</t>
  </si>
  <si>
    <t>B1d (300*750)</t>
  </si>
  <si>
    <t>B1e (300*750)</t>
  </si>
  <si>
    <t>B1f (300*750)</t>
  </si>
  <si>
    <t>B2a (230*750)</t>
  </si>
  <si>
    <t>B2b (230*750)</t>
  </si>
  <si>
    <t>B2c (230*750)</t>
  </si>
  <si>
    <t>B3a (300*750)</t>
  </si>
  <si>
    <t>B3b (300*750)</t>
  </si>
  <si>
    <t>B3c (300*750)</t>
  </si>
  <si>
    <t>B4a (300*600)</t>
  </si>
  <si>
    <t>B4b (300*600)</t>
  </si>
  <si>
    <t>B4c (300*600)</t>
  </si>
  <si>
    <t>B5 (300*600)</t>
  </si>
  <si>
    <t>B6a (300*550)</t>
  </si>
  <si>
    <t>B6b (300*550)</t>
  </si>
  <si>
    <t>B6c (300*550)</t>
  </si>
  <si>
    <t>B7 (300*550)</t>
  </si>
  <si>
    <t>B8a (300*550)</t>
  </si>
  <si>
    <t>Extra Top Bar (ER)</t>
  </si>
  <si>
    <t>B8b (300*550)</t>
  </si>
  <si>
    <t>B9 (300*600)</t>
  </si>
  <si>
    <t>B10a (300*600)</t>
  </si>
  <si>
    <t>B10b (300*600)</t>
  </si>
  <si>
    <t>B11 (300*750)</t>
  </si>
  <si>
    <t>Total Length</t>
  </si>
  <si>
    <t>ABSTRACT OF STEEL</t>
  </si>
  <si>
    <t>TOTAL</t>
  </si>
  <si>
    <t>Size of the Bar</t>
  </si>
  <si>
    <t>Length in mtrs</t>
  </si>
  <si>
    <t>Weight in metre</t>
  </si>
  <si>
    <t>Weight in kg</t>
  </si>
  <si>
    <t>TOTAL WEIGHT OF STEEL IN KGS</t>
  </si>
  <si>
    <t>TOTAL WEIGHT OF STEEL IN MT</t>
  </si>
  <si>
    <t>MT</t>
  </si>
  <si>
    <t>Section A &amp;B</t>
  </si>
  <si>
    <t>Y-direction Bar</t>
  </si>
  <si>
    <t>Section C</t>
  </si>
  <si>
    <t>X-direction Bar</t>
  </si>
  <si>
    <t>Section A&amp;E</t>
  </si>
  <si>
    <t>X-direction Top Bar</t>
  </si>
  <si>
    <t>Section C&amp;F</t>
  </si>
  <si>
    <t>X-direction  Bar</t>
  </si>
  <si>
    <t>SLAB STEEL</t>
  </si>
  <si>
    <t>SLAB BEAM</t>
  </si>
  <si>
    <t>Section A&amp;B</t>
  </si>
  <si>
    <t>Extra Bar 1</t>
  </si>
  <si>
    <t>Top Bar -Sec E</t>
  </si>
  <si>
    <t>Top Bar -Sec C</t>
  </si>
  <si>
    <t>SLAB TOP</t>
  </si>
  <si>
    <t>GRADE BEAM</t>
  </si>
  <si>
    <t>GRADE SLAB REINFORCEMENT</t>
  </si>
  <si>
    <t>X-Direction</t>
  </si>
  <si>
    <t>Y-Direction</t>
  </si>
  <si>
    <t>No.s</t>
  </si>
  <si>
    <t>Mat</t>
  </si>
  <si>
    <t>No.of bars</t>
  </si>
  <si>
    <t>S.NO</t>
  </si>
  <si>
    <t>DESCRIPTION</t>
  </si>
  <si>
    <t>NO'S</t>
  </si>
  <si>
    <t>Grid (A-K) &amp; (1-4)</t>
  </si>
  <si>
    <t>P1</t>
  </si>
  <si>
    <t>P2</t>
  </si>
  <si>
    <t>P3</t>
  </si>
  <si>
    <t>P4</t>
  </si>
  <si>
    <t>P5</t>
  </si>
  <si>
    <t>P6</t>
  </si>
  <si>
    <t>P7</t>
  </si>
  <si>
    <t>P8</t>
  </si>
  <si>
    <t>P7a</t>
  </si>
  <si>
    <t>P8a</t>
  </si>
  <si>
    <t>C1</t>
  </si>
  <si>
    <t>C2</t>
  </si>
  <si>
    <t>Total RCC Quantity</t>
  </si>
  <si>
    <t xml:space="preserve">RCC FOR GRADE SLAB </t>
  </si>
  <si>
    <t>LENGTH (Mt)</t>
  </si>
  <si>
    <t>WIDTH (Mt)</t>
  </si>
  <si>
    <t>DEPTH (Mt)</t>
  </si>
  <si>
    <t>QUANTITY (CUM)</t>
  </si>
  <si>
    <t>10% Wastage</t>
  </si>
  <si>
    <t xml:space="preserve"> RCC Quantity</t>
  </si>
  <si>
    <t xml:space="preserve">RCC FOR SLAB </t>
  </si>
  <si>
    <t>Grid (A-G) &amp; (1-2)</t>
  </si>
  <si>
    <t>Grid (G-K) &amp; (1-2)</t>
  </si>
  <si>
    <t>Stair Case</t>
  </si>
  <si>
    <t>RCC FOR BEAMS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</si>
</sst>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1" fillId="0" borderId="0"/>
    <xf numFmtId="0" fontId="2" fillId="0" borderId="0"/>
  </cellStyleXfs>
  <cellXfs count="95">
    <xf numFmtId="0" fontId="0" fillId="0" borderId="0" xfId="0"/>
    <xf numFmtId="0" fontId="3" fillId="0" borderId="1" xfId="1" applyFont="1" applyBorder="1"/>
    <xf numFmtId="0" fontId="4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2" fontId="4" fillId="0" borderId="1" xfId="1" applyNumberFormat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left" vertical="center" wrapText="1"/>
    </xf>
    <xf numFmtId="0" fontId="6" fillId="0" borderId="1" xfId="1" applyFont="1" applyBorder="1" applyAlignment="1">
      <alignment horizontal="center" vertical="center"/>
    </xf>
    <xf numFmtId="2" fontId="5" fillId="0" borderId="1" xfId="1" applyNumberFormat="1" applyFont="1" applyBorder="1" applyAlignment="1">
      <alignment horizontal="center" vertical="center"/>
    </xf>
    <xf numFmtId="2" fontId="5" fillId="0" borderId="1" xfId="1" applyNumberFormat="1" applyFont="1" applyBorder="1" applyAlignment="1">
      <alignment horizontal="right" vertical="center"/>
    </xf>
    <xf numFmtId="2" fontId="6" fillId="0" borderId="1" xfId="1" applyNumberFormat="1" applyFont="1" applyBorder="1" applyAlignment="1">
      <alignment horizontal="center" vertical="center"/>
    </xf>
    <xf numFmtId="0" fontId="6" fillId="0" borderId="1" xfId="1" applyFont="1" applyBorder="1"/>
    <xf numFmtId="0" fontId="7" fillId="0" borderId="1" xfId="0" applyFont="1" applyBorder="1" applyAlignment="1">
      <alignment horizontal="left" vertical="center"/>
    </xf>
    <xf numFmtId="0" fontId="6" fillId="0" borderId="1" xfId="1" applyFont="1" applyBorder="1" applyAlignment="1">
      <alignment vertical="center"/>
    </xf>
    <xf numFmtId="2" fontId="8" fillId="0" borderId="1" xfId="0" applyNumberFormat="1" applyFont="1" applyBorder="1"/>
    <xf numFmtId="0" fontId="8" fillId="0" borderId="1" xfId="0" applyFont="1" applyBorder="1" applyAlignment="1">
      <alignment horizontal="left" vertical="center"/>
    </xf>
    <xf numFmtId="2" fontId="6" fillId="0" borderId="1" xfId="1" applyNumberFormat="1" applyFont="1" applyBorder="1" applyAlignment="1">
      <alignment horizontal="right" vertical="center"/>
    </xf>
    <xf numFmtId="164" fontId="6" fillId="0" borderId="1" xfId="1" applyNumberFormat="1" applyFont="1" applyBorder="1" applyAlignment="1">
      <alignment horizontal="center" vertical="center"/>
    </xf>
    <xf numFmtId="0" fontId="0" fillId="0" borderId="1" xfId="0" applyBorder="1"/>
    <xf numFmtId="2" fontId="0" fillId="0" borderId="1" xfId="0" applyNumberFormat="1" applyBorder="1" applyAlignment="1">
      <alignment horizontal="center"/>
    </xf>
    <xf numFmtId="2" fontId="1" fillId="0" borderId="1" xfId="0" applyNumberFormat="1" applyFont="1" applyBorder="1"/>
    <xf numFmtId="0" fontId="8" fillId="0" borderId="1" xfId="0" applyFont="1" applyBorder="1" applyAlignment="1">
      <alignment vertical="center"/>
    </xf>
    <xf numFmtId="0" fontId="8" fillId="0" borderId="1" xfId="0" applyFont="1" applyBorder="1"/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164" fontId="7" fillId="0" borderId="1" xfId="0" applyNumberFormat="1" applyFont="1" applyBorder="1"/>
    <xf numFmtId="0" fontId="5" fillId="0" borderId="1" xfId="1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8" fillId="0" borderId="0" xfId="0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164" fontId="7" fillId="0" borderId="0" xfId="0" applyNumberFormat="1" applyFont="1"/>
    <xf numFmtId="0" fontId="3" fillId="0" borderId="0" xfId="1" applyFont="1"/>
    <xf numFmtId="0" fontId="3" fillId="0" borderId="0" xfId="1" applyFont="1" applyAlignment="1">
      <alignment vertical="center" wrapText="1"/>
    </xf>
    <xf numFmtId="0" fontId="4" fillId="0" borderId="0" xfId="1" applyFont="1" applyAlignment="1">
      <alignment vertical="center" wrapText="1"/>
    </xf>
    <xf numFmtId="0" fontId="4" fillId="0" borderId="0" xfId="1" applyFont="1" applyAlignment="1">
      <alignment vertical="center"/>
    </xf>
    <xf numFmtId="2" fontId="4" fillId="0" borderId="0" xfId="1" applyNumberFormat="1" applyFont="1" applyAlignment="1">
      <alignment vertical="center"/>
    </xf>
    <xf numFmtId="0" fontId="4" fillId="0" borderId="0" xfId="1" applyFont="1" applyAlignment="1">
      <alignment horizontal="center" vertical="center"/>
    </xf>
    <xf numFmtId="2" fontId="4" fillId="0" borderId="0" xfId="1" applyNumberFormat="1" applyFont="1" applyAlignment="1">
      <alignment horizontal="center" vertical="center"/>
    </xf>
    <xf numFmtId="0" fontId="4" fillId="0" borderId="0" xfId="1" applyFont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0" fontId="5" fillId="0" borderId="0" xfId="1" applyFont="1" applyAlignment="1">
      <alignment horizontal="left" vertical="center" wrapText="1"/>
    </xf>
    <xf numFmtId="0" fontId="6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 wrapText="1"/>
    </xf>
    <xf numFmtId="2" fontId="5" fillId="0" borderId="0" xfId="1" applyNumberFormat="1" applyFont="1" applyAlignment="1">
      <alignment horizontal="center" vertical="center"/>
    </xf>
    <xf numFmtId="2" fontId="5" fillId="0" borderId="0" xfId="1" applyNumberFormat="1" applyFont="1" applyAlignment="1">
      <alignment horizontal="right" vertical="center"/>
    </xf>
    <xf numFmtId="2" fontId="6" fillId="0" borderId="0" xfId="1" applyNumberFormat="1" applyFont="1" applyAlignment="1">
      <alignment horizontal="center" vertical="center"/>
    </xf>
    <xf numFmtId="0" fontId="6" fillId="0" borderId="0" xfId="1" applyFont="1"/>
    <xf numFmtId="0" fontId="8" fillId="0" borderId="0" xfId="0" applyFont="1" applyAlignment="1">
      <alignment horizontal="left" vertical="center"/>
    </xf>
    <xf numFmtId="0" fontId="6" fillId="0" borderId="0" xfId="1" applyFont="1" applyAlignment="1">
      <alignment vertical="center"/>
    </xf>
    <xf numFmtId="2" fontId="6" fillId="0" borderId="0" xfId="1" applyNumberFormat="1" applyFont="1" applyAlignment="1">
      <alignment horizontal="right" vertical="center"/>
    </xf>
    <xf numFmtId="2" fontId="8" fillId="0" borderId="0" xfId="0" applyNumberFormat="1" applyFont="1"/>
    <xf numFmtId="164" fontId="6" fillId="0" borderId="0" xfId="1" applyNumberFormat="1" applyFont="1" applyAlignment="1">
      <alignment horizontal="center" vertical="center"/>
    </xf>
    <xf numFmtId="165" fontId="9" fillId="0" borderId="0" xfId="0" applyNumberFormat="1" applyFont="1" applyAlignment="1">
      <alignment vertical="center"/>
    </xf>
    <xf numFmtId="2" fontId="1" fillId="0" borderId="0" xfId="0" applyNumberFormat="1" applyFont="1"/>
    <xf numFmtId="0" fontId="10" fillId="0" borderId="0" xfId="0" applyFont="1" applyAlignment="1">
      <alignment vertical="center"/>
    </xf>
    <xf numFmtId="2" fontId="8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/>
    </xf>
    <xf numFmtId="2" fontId="8" fillId="2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 wrapText="1"/>
    </xf>
    <xf numFmtId="0" fontId="12" fillId="2" borderId="1" xfId="2" applyFont="1" applyFill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/>
    </xf>
    <xf numFmtId="165" fontId="7" fillId="0" borderId="1" xfId="0" applyNumberFormat="1" applyFont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2" fontId="8" fillId="0" borderId="1" xfId="0" applyNumberFormat="1" applyFont="1" applyBorder="1" applyAlignment="1">
      <alignment horizontal="right"/>
    </xf>
    <xf numFmtId="0" fontId="8" fillId="0" borderId="1" xfId="0" applyFont="1" applyBorder="1" applyAlignment="1">
      <alignment horizontal="right"/>
    </xf>
    <xf numFmtId="165" fontId="8" fillId="0" borderId="1" xfId="0" applyNumberFormat="1" applyFont="1" applyBorder="1" applyAlignment="1">
      <alignment horizontal="center"/>
    </xf>
    <xf numFmtId="2" fontId="8" fillId="0" borderId="2" xfId="0" applyNumberFormat="1" applyFont="1" applyBorder="1" applyAlignment="1">
      <alignment horizontal="right"/>
    </xf>
    <xf numFmtId="0" fontId="8" fillId="0" borderId="3" xfId="0" applyFont="1" applyBorder="1" applyAlignment="1">
      <alignment horizontal="right"/>
    </xf>
    <xf numFmtId="0" fontId="8" fillId="0" borderId="4" xfId="0" applyFont="1" applyBorder="1" applyAlignment="1">
      <alignment horizontal="right"/>
    </xf>
    <xf numFmtId="165" fontId="8" fillId="0" borderId="2" xfId="0" applyNumberFormat="1" applyFont="1" applyBorder="1" applyAlignment="1">
      <alignment horizontal="center"/>
    </xf>
    <xf numFmtId="165" fontId="8" fillId="0" borderId="3" xfId="0" applyNumberFormat="1" applyFont="1" applyBorder="1" applyAlignment="1">
      <alignment horizontal="center"/>
    </xf>
    <xf numFmtId="165" fontId="8" fillId="0" borderId="4" xfId="0" applyNumberFormat="1" applyFont="1" applyBorder="1" applyAlignment="1">
      <alignment horizontal="center"/>
    </xf>
    <xf numFmtId="2" fontId="4" fillId="0" borderId="1" xfId="1" applyNumberFormat="1" applyFont="1" applyBorder="1" applyAlignment="1">
      <alignment horizontal="center" vertical="center"/>
    </xf>
    <xf numFmtId="165" fontId="9" fillId="0" borderId="2" xfId="0" applyNumberFormat="1" applyFont="1" applyBorder="1" applyAlignment="1">
      <alignment horizontal="center" vertical="center"/>
    </xf>
    <xf numFmtId="165" fontId="9" fillId="0" borderId="3" xfId="0" applyNumberFormat="1" applyFont="1" applyBorder="1" applyAlignment="1">
      <alignment horizontal="center" vertical="center"/>
    </xf>
    <xf numFmtId="165" fontId="9" fillId="0" borderId="4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left" vertical="center" wrapText="1"/>
    </xf>
    <xf numFmtId="2" fontId="9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</cellXfs>
  <cellStyles count="4">
    <cellStyle name="Normal" xfId="0" builtinId="0"/>
    <cellStyle name="Normal 2" xfId="1" xr:uid="{AC9DE2A6-C7A0-4D9E-A7D1-4218F8B7593C}"/>
    <cellStyle name="Normal 2 2 2 2" xfId="3" xr:uid="{F6636AEE-6D65-4495-8FA5-7F0058489114}"/>
    <cellStyle name="Normal 2 3" xfId="2" xr:uid="{1700162E-F9F1-4008-B620-8D036D2D25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03"/>
  <sheetViews>
    <sheetView topLeftCell="A247" workbookViewId="0">
      <selection activeCell="I307" sqref="I307"/>
    </sheetView>
  </sheetViews>
  <sheetFormatPr defaultRowHeight="14.5" x14ac:dyDescent="0.35"/>
  <cols>
    <col min="2" max="2" width="22.90625" bestFit="1" customWidth="1"/>
    <col min="4" max="4" width="4.26953125" customWidth="1"/>
    <col min="5" max="5" width="3.7265625" customWidth="1"/>
    <col min="6" max="6" width="4.36328125" customWidth="1"/>
    <col min="7" max="7" width="9" customWidth="1"/>
  </cols>
  <sheetData>
    <row r="1" spans="1:20" ht="15.5" x14ac:dyDescent="0.35">
      <c r="A1" s="1"/>
      <c r="B1" s="86" t="s">
        <v>0</v>
      </c>
      <c r="C1" s="86"/>
      <c r="D1" s="86"/>
      <c r="E1" s="85" t="s">
        <v>1</v>
      </c>
      <c r="F1" s="85"/>
      <c r="G1" s="85" t="s">
        <v>2</v>
      </c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</row>
    <row r="2" spans="1:20" ht="15.5" x14ac:dyDescent="0.35">
      <c r="A2" s="1"/>
      <c r="B2" s="86" t="s">
        <v>3</v>
      </c>
      <c r="C2" s="86"/>
      <c r="D2" s="86"/>
      <c r="E2" s="84" t="s">
        <v>1</v>
      </c>
      <c r="F2" s="84"/>
      <c r="G2" s="85" t="s">
        <v>4</v>
      </c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</row>
    <row r="3" spans="1:20" ht="15" x14ac:dyDescent="0.35">
      <c r="A3" s="84" t="s">
        <v>5</v>
      </c>
      <c r="B3" s="85" t="s">
        <v>6</v>
      </c>
      <c r="C3" s="85" t="s">
        <v>7</v>
      </c>
      <c r="D3" s="84" t="s">
        <v>8</v>
      </c>
      <c r="E3" s="84"/>
      <c r="F3" s="84"/>
      <c r="G3" s="79" t="s">
        <v>9</v>
      </c>
      <c r="H3" s="84"/>
      <c r="I3" s="84"/>
      <c r="J3" s="84"/>
      <c r="K3" s="84"/>
      <c r="L3" s="84"/>
      <c r="M3" s="3"/>
      <c r="N3" s="3" t="s">
        <v>10</v>
      </c>
      <c r="O3" s="79" t="s">
        <v>11</v>
      </c>
      <c r="P3" s="79"/>
      <c r="Q3" s="79"/>
      <c r="R3" s="79"/>
      <c r="S3" s="79"/>
      <c r="T3" s="79"/>
    </row>
    <row r="4" spans="1:20" ht="15" x14ac:dyDescent="0.35">
      <c r="A4" s="84"/>
      <c r="B4" s="85"/>
      <c r="C4" s="85"/>
      <c r="D4" s="84"/>
      <c r="E4" s="84"/>
      <c r="F4" s="84"/>
      <c r="G4" s="79"/>
      <c r="H4" s="4" t="s">
        <v>12</v>
      </c>
      <c r="I4" s="4" t="s">
        <v>13</v>
      </c>
      <c r="J4" s="4" t="s">
        <v>14</v>
      </c>
      <c r="K4" s="4" t="s">
        <v>15</v>
      </c>
      <c r="L4" s="4" t="s">
        <v>16</v>
      </c>
      <c r="M4" s="4" t="s">
        <v>17</v>
      </c>
      <c r="N4" s="4" t="s">
        <v>18</v>
      </c>
      <c r="O4" s="3" t="s">
        <v>19</v>
      </c>
      <c r="P4" s="3" t="s">
        <v>20</v>
      </c>
      <c r="Q4" s="3" t="s">
        <v>21</v>
      </c>
      <c r="R4" s="3" t="s">
        <v>22</v>
      </c>
      <c r="S4" s="3" t="s">
        <v>23</v>
      </c>
      <c r="T4" s="2" t="s">
        <v>24</v>
      </c>
    </row>
    <row r="5" spans="1:20" x14ac:dyDescent="0.35">
      <c r="A5" s="5" t="s">
        <v>25</v>
      </c>
      <c r="B5" s="6" t="s">
        <v>85</v>
      </c>
      <c r="C5" s="7"/>
      <c r="D5" s="5">
        <v>1</v>
      </c>
      <c r="E5" s="5">
        <v>2</v>
      </c>
      <c r="F5" s="5">
        <v>3</v>
      </c>
      <c r="G5" s="8"/>
      <c r="H5" s="9"/>
      <c r="I5" s="8"/>
      <c r="J5" s="9"/>
      <c r="K5" s="8"/>
      <c r="L5" s="8"/>
      <c r="M5" s="8"/>
      <c r="N5" s="8"/>
      <c r="O5" s="10" t="s">
        <v>26</v>
      </c>
      <c r="P5" s="10" t="s">
        <v>26</v>
      </c>
      <c r="Q5" s="10" t="s">
        <v>26</v>
      </c>
      <c r="R5" s="10" t="s">
        <v>26</v>
      </c>
      <c r="S5" s="10" t="s">
        <v>26</v>
      </c>
      <c r="T5" s="10"/>
    </row>
    <row r="6" spans="1:20" x14ac:dyDescent="0.35">
      <c r="A6" s="11">
        <v>1</v>
      </c>
      <c r="B6" s="12" t="s">
        <v>27</v>
      </c>
      <c r="C6" s="7"/>
      <c r="D6" s="7"/>
      <c r="E6" s="7"/>
      <c r="F6" s="13"/>
      <c r="G6" s="8"/>
      <c r="H6" s="9"/>
      <c r="I6" s="14"/>
      <c r="J6" s="9"/>
      <c r="K6" s="8"/>
      <c r="L6" s="8"/>
      <c r="M6" s="8"/>
      <c r="N6" s="8"/>
      <c r="O6" s="10"/>
      <c r="P6" s="10"/>
      <c r="Q6" s="10"/>
      <c r="R6" s="10"/>
      <c r="S6" s="10"/>
      <c r="T6" s="10"/>
    </row>
    <row r="7" spans="1:20" x14ac:dyDescent="0.35">
      <c r="A7" s="11">
        <v>2</v>
      </c>
      <c r="B7" s="15" t="s">
        <v>28</v>
      </c>
      <c r="C7" s="7" t="s">
        <v>20</v>
      </c>
      <c r="D7" s="7">
        <v>2</v>
      </c>
      <c r="E7" s="7">
        <v>1</v>
      </c>
      <c r="F7" s="13">
        <v>2</v>
      </c>
      <c r="G7" s="10">
        <f>SUM(H7:N7)</f>
        <v>5.4</v>
      </c>
      <c r="H7" s="16">
        <f>0.75-0.025-0.025</f>
        <v>0.7</v>
      </c>
      <c r="I7" s="14">
        <v>4</v>
      </c>
      <c r="J7" s="16">
        <f>0.75-0.025-0.025</f>
        <v>0.7</v>
      </c>
      <c r="K7" s="10"/>
      <c r="L7" s="10"/>
      <c r="M7" s="10"/>
      <c r="N7" s="17"/>
      <c r="O7" s="10" t="str">
        <f>IF($C7=O$4,$D7*$E7*$F7*$G7," ")</f>
        <v xml:space="preserve"> </v>
      </c>
      <c r="P7" s="10">
        <f t="shared" ref="P7:T22" si="0">IF($C7=P$4,$D7*$E7*$F7*$G7," ")</f>
        <v>21.6</v>
      </c>
      <c r="Q7" s="10" t="str">
        <f t="shared" si="0"/>
        <v xml:space="preserve"> </v>
      </c>
      <c r="R7" s="10" t="str">
        <f t="shared" si="0"/>
        <v xml:space="preserve"> </v>
      </c>
      <c r="S7" s="10" t="str">
        <f t="shared" si="0"/>
        <v xml:space="preserve"> </v>
      </c>
      <c r="T7" s="10" t="str">
        <f t="shared" si="0"/>
        <v xml:space="preserve"> </v>
      </c>
    </row>
    <row r="8" spans="1:20" x14ac:dyDescent="0.35">
      <c r="A8" s="11">
        <v>3</v>
      </c>
      <c r="B8" s="15" t="s">
        <v>28</v>
      </c>
      <c r="C8" s="7" t="s">
        <v>21</v>
      </c>
      <c r="D8" s="7">
        <v>2</v>
      </c>
      <c r="E8" s="7">
        <v>1</v>
      </c>
      <c r="F8" s="13">
        <v>1</v>
      </c>
      <c r="G8" s="10">
        <f t="shared" ref="G8:G71" si="1">SUM(H8:N8)</f>
        <v>5.4</v>
      </c>
      <c r="H8" s="16">
        <f t="shared" ref="H8:K14" si="2">0.75-0.025-0.025</f>
        <v>0.7</v>
      </c>
      <c r="I8" s="14">
        <v>4</v>
      </c>
      <c r="J8" s="16">
        <f t="shared" si="2"/>
        <v>0.7</v>
      </c>
      <c r="K8" s="10"/>
      <c r="L8" s="10"/>
      <c r="M8" s="10"/>
      <c r="N8" s="17"/>
      <c r="O8" s="10" t="str">
        <f t="shared" ref="O8:T62" si="3">IF($C8=O$4,$D8*$E8*$F8*$G8," ")</f>
        <v xml:space="preserve"> </v>
      </c>
      <c r="P8" s="10" t="str">
        <f t="shared" si="0"/>
        <v xml:space="preserve"> </v>
      </c>
      <c r="Q8" s="10">
        <f t="shared" si="0"/>
        <v>10.8</v>
      </c>
      <c r="R8" s="10" t="str">
        <f t="shared" si="0"/>
        <v xml:space="preserve"> </v>
      </c>
      <c r="S8" s="10" t="str">
        <f t="shared" si="0"/>
        <v xml:space="preserve"> </v>
      </c>
      <c r="T8" s="10" t="str">
        <f t="shared" si="0"/>
        <v xml:space="preserve"> </v>
      </c>
    </row>
    <row r="9" spans="1:20" x14ac:dyDescent="0.35">
      <c r="A9" s="11">
        <v>4</v>
      </c>
      <c r="B9" s="15" t="s">
        <v>29</v>
      </c>
      <c r="C9" s="7" t="s">
        <v>20</v>
      </c>
      <c r="D9" s="7">
        <v>2</v>
      </c>
      <c r="E9" s="7">
        <v>1</v>
      </c>
      <c r="F9" s="13">
        <v>2</v>
      </c>
      <c r="G9" s="10">
        <f t="shared" si="1"/>
        <v>5.4</v>
      </c>
      <c r="H9" s="16">
        <f t="shared" si="2"/>
        <v>0.7</v>
      </c>
      <c r="I9" s="14">
        <v>4</v>
      </c>
      <c r="J9" s="16">
        <f t="shared" si="2"/>
        <v>0.7</v>
      </c>
      <c r="K9" s="10"/>
      <c r="L9" s="10"/>
      <c r="M9" s="10"/>
      <c r="N9" s="17"/>
      <c r="O9" s="10" t="str">
        <f t="shared" si="3"/>
        <v xml:space="preserve"> </v>
      </c>
      <c r="P9" s="10">
        <f t="shared" si="0"/>
        <v>21.6</v>
      </c>
      <c r="Q9" s="10" t="str">
        <f t="shared" si="0"/>
        <v xml:space="preserve"> </v>
      </c>
      <c r="R9" s="10" t="str">
        <f t="shared" si="0"/>
        <v xml:space="preserve"> </v>
      </c>
      <c r="S9" s="10" t="str">
        <f t="shared" si="0"/>
        <v xml:space="preserve"> </v>
      </c>
      <c r="T9" s="10" t="str">
        <f t="shared" si="0"/>
        <v xml:space="preserve"> </v>
      </c>
    </row>
    <row r="10" spans="1:20" x14ac:dyDescent="0.35">
      <c r="A10" s="11">
        <v>5</v>
      </c>
      <c r="B10" s="15" t="s">
        <v>29</v>
      </c>
      <c r="C10" s="7" t="s">
        <v>21</v>
      </c>
      <c r="D10" s="7">
        <v>2</v>
      </c>
      <c r="E10" s="7">
        <v>1</v>
      </c>
      <c r="F10" s="13">
        <v>1</v>
      </c>
      <c r="G10" s="10">
        <f t="shared" si="1"/>
        <v>5.4</v>
      </c>
      <c r="H10" s="16">
        <f t="shared" si="2"/>
        <v>0.7</v>
      </c>
      <c r="I10" s="14">
        <v>4</v>
      </c>
      <c r="J10" s="16">
        <f t="shared" si="2"/>
        <v>0.7</v>
      </c>
      <c r="K10" s="10"/>
      <c r="L10" s="10"/>
      <c r="M10" s="10"/>
      <c r="N10" s="17"/>
      <c r="O10" s="10" t="str">
        <f t="shared" si="3"/>
        <v xml:space="preserve"> </v>
      </c>
      <c r="P10" s="10" t="str">
        <f t="shared" si="0"/>
        <v xml:space="preserve"> </v>
      </c>
      <c r="Q10" s="10">
        <f t="shared" si="0"/>
        <v>10.8</v>
      </c>
      <c r="R10" s="10" t="str">
        <f t="shared" si="0"/>
        <v xml:space="preserve"> </v>
      </c>
      <c r="S10" s="10" t="str">
        <f t="shared" si="0"/>
        <v xml:space="preserve"> </v>
      </c>
      <c r="T10" s="10" t="str">
        <f t="shared" si="0"/>
        <v xml:space="preserve"> </v>
      </c>
    </row>
    <row r="11" spans="1:20" x14ac:dyDescent="0.35">
      <c r="A11" s="11">
        <v>6</v>
      </c>
      <c r="B11" s="15" t="s">
        <v>30</v>
      </c>
      <c r="C11" s="7" t="s">
        <v>24</v>
      </c>
      <c r="D11" s="7">
        <v>2</v>
      </c>
      <c r="E11" s="7">
        <v>1</v>
      </c>
      <c r="F11" s="13">
        <f>ROUND((I7/4)/0.1+1,0)</f>
        <v>11</v>
      </c>
      <c r="G11" s="10">
        <f t="shared" si="1"/>
        <v>2.06</v>
      </c>
      <c r="H11" s="16">
        <f>0.3-0.025-0.025</f>
        <v>0.24999999999999997</v>
      </c>
      <c r="I11" s="16">
        <f t="shared" ref="I11:I13" si="4">0.75-0.025-0.025</f>
        <v>0.7</v>
      </c>
      <c r="J11" s="16">
        <f>0.3-0.025-0.025</f>
        <v>0.24999999999999997</v>
      </c>
      <c r="K11" s="16">
        <f t="shared" si="2"/>
        <v>0.7</v>
      </c>
      <c r="L11" s="10">
        <v>0.08</v>
      </c>
      <c r="M11" s="10">
        <v>0.08</v>
      </c>
      <c r="N11" s="17"/>
      <c r="O11" s="10" t="str">
        <f t="shared" si="3"/>
        <v xml:space="preserve"> </v>
      </c>
      <c r="P11" s="10" t="str">
        <f t="shared" si="0"/>
        <v xml:space="preserve"> </v>
      </c>
      <c r="Q11" s="10" t="str">
        <f t="shared" si="0"/>
        <v xml:space="preserve"> </v>
      </c>
      <c r="R11" s="10" t="str">
        <f t="shared" si="0"/>
        <v xml:space="preserve"> </v>
      </c>
      <c r="S11" s="10" t="str">
        <f t="shared" si="0"/>
        <v xml:space="preserve"> </v>
      </c>
      <c r="T11" s="10">
        <f t="shared" si="0"/>
        <v>45.32</v>
      </c>
    </row>
    <row r="12" spans="1:20" x14ac:dyDescent="0.35">
      <c r="A12" s="11">
        <v>7</v>
      </c>
      <c r="B12" s="15" t="s">
        <v>31</v>
      </c>
      <c r="C12" s="7" t="s">
        <v>24</v>
      </c>
      <c r="D12" s="7">
        <v>2</v>
      </c>
      <c r="E12" s="7">
        <v>1</v>
      </c>
      <c r="F12" s="13">
        <f>ROUND((I8/4)/0.1+1,0)</f>
        <v>11</v>
      </c>
      <c r="G12" s="10">
        <f t="shared" si="1"/>
        <v>2.06</v>
      </c>
      <c r="H12" s="16">
        <f>0.3-0.025-0.025</f>
        <v>0.24999999999999997</v>
      </c>
      <c r="I12" s="16">
        <f t="shared" si="4"/>
        <v>0.7</v>
      </c>
      <c r="J12" s="16">
        <f>0.3-0.025-0.025</f>
        <v>0.24999999999999997</v>
      </c>
      <c r="K12" s="16">
        <f t="shared" si="2"/>
        <v>0.7</v>
      </c>
      <c r="L12" s="10">
        <v>0.08</v>
      </c>
      <c r="M12" s="10">
        <v>0.08</v>
      </c>
      <c r="N12" s="17"/>
      <c r="O12" s="10" t="str">
        <f t="shared" si="3"/>
        <v xml:space="preserve"> </v>
      </c>
      <c r="P12" s="10" t="str">
        <f t="shared" si="0"/>
        <v xml:space="preserve"> </v>
      </c>
      <c r="Q12" s="10" t="str">
        <f t="shared" si="0"/>
        <v xml:space="preserve"> </v>
      </c>
      <c r="R12" s="10" t="str">
        <f t="shared" si="0"/>
        <v xml:space="preserve"> </v>
      </c>
      <c r="S12" s="10" t="str">
        <f t="shared" si="0"/>
        <v xml:space="preserve"> </v>
      </c>
      <c r="T12" s="10">
        <f t="shared" si="0"/>
        <v>45.32</v>
      </c>
    </row>
    <row r="13" spans="1:20" x14ac:dyDescent="0.35">
      <c r="A13" s="11">
        <v>8</v>
      </c>
      <c r="B13" s="15" t="s">
        <v>32</v>
      </c>
      <c r="C13" s="7" t="s">
        <v>24</v>
      </c>
      <c r="D13" s="7">
        <v>2</v>
      </c>
      <c r="E13" s="7">
        <v>1</v>
      </c>
      <c r="F13" s="13">
        <f>ROUND((I9/2)/0.175+1,0)</f>
        <v>12</v>
      </c>
      <c r="G13" s="10">
        <f t="shared" si="1"/>
        <v>2.06</v>
      </c>
      <c r="H13" s="16">
        <f>0.3-0.025-0.025</f>
        <v>0.24999999999999997</v>
      </c>
      <c r="I13" s="16">
        <f t="shared" si="4"/>
        <v>0.7</v>
      </c>
      <c r="J13" s="16">
        <f>0.3-0.025-0.025</f>
        <v>0.24999999999999997</v>
      </c>
      <c r="K13" s="16">
        <f t="shared" si="2"/>
        <v>0.7</v>
      </c>
      <c r="L13" s="10">
        <v>0.08</v>
      </c>
      <c r="M13" s="10">
        <v>0.08</v>
      </c>
      <c r="N13" s="17"/>
      <c r="O13" s="10" t="str">
        <f t="shared" si="3"/>
        <v xml:space="preserve"> </v>
      </c>
      <c r="P13" s="10" t="str">
        <f t="shared" si="0"/>
        <v xml:space="preserve"> </v>
      </c>
      <c r="Q13" s="10" t="str">
        <f t="shared" si="0"/>
        <v xml:space="preserve"> </v>
      </c>
      <c r="R13" s="10" t="str">
        <f t="shared" si="0"/>
        <v xml:space="preserve"> </v>
      </c>
      <c r="S13" s="10" t="str">
        <f t="shared" si="0"/>
        <v xml:space="preserve"> </v>
      </c>
      <c r="T13" s="10">
        <f t="shared" si="0"/>
        <v>49.44</v>
      </c>
    </row>
    <row r="14" spans="1:20" x14ac:dyDescent="0.35">
      <c r="A14" s="11">
        <v>9</v>
      </c>
      <c r="B14" s="15" t="s">
        <v>33</v>
      </c>
      <c r="C14" s="7" t="s">
        <v>23</v>
      </c>
      <c r="D14" s="7">
        <v>2</v>
      </c>
      <c r="E14" s="7">
        <v>1</v>
      </c>
      <c r="F14" s="13">
        <v>2</v>
      </c>
      <c r="G14" s="10">
        <f t="shared" si="1"/>
        <v>5.4</v>
      </c>
      <c r="H14" s="16">
        <f t="shared" si="2"/>
        <v>0.7</v>
      </c>
      <c r="I14" s="14">
        <v>4</v>
      </c>
      <c r="J14" s="16">
        <f t="shared" si="2"/>
        <v>0.7</v>
      </c>
      <c r="K14" s="16"/>
      <c r="L14" s="10"/>
      <c r="M14" s="10"/>
      <c r="N14" s="17"/>
      <c r="O14" s="10" t="str">
        <f t="shared" si="3"/>
        <v xml:space="preserve"> </v>
      </c>
      <c r="P14" s="10" t="str">
        <f t="shared" si="0"/>
        <v xml:space="preserve"> </v>
      </c>
      <c r="Q14" s="10" t="str">
        <f t="shared" si="0"/>
        <v xml:space="preserve"> </v>
      </c>
      <c r="R14" s="10" t="str">
        <f t="shared" si="0"/>
        <v xml:space="preserve"> </v>
      </c>
      <c r="S14" s="10">
        <f t="shared" si="0"/>
        <v>21.6</v>
      </c>
      <c r="T14" s="10" t="str">
        <f t="shared" si="0"/>
        <v xml:space="preserve"> </v>
      </c>
    </row>
    <row r="15" spans="1:20" x14ac:dyDescent="0.35">
      <c r="A15" s="11">
        <v>10</v>
      </c>
      <c r="B15" s="12" t="s">
        <v>34</v>
      </c>
      <c r="C15" s="7"/>
      <c r="D15" s="7"/>
      <c r="E15" s="7"/>
      <c r="F15" s="13"/>
      <c r="G15" s="10"/>
      <c r="H15" s="16"/>
      <c r="I15" s="16"/>
      <c r="J15" s="16"/>
      <c r="K15" s="16"/>
      <c r="L15" s="10"/>
      <c r="M15" s="10"/>
      <c r="N15" s="17"/>
      <c r="O15" s="10" t="str">
        <f t="shared" si="3"/>
        <v xml:space="preserve"> </v>
      </c>
      <c r="P15" s="10" t="str">
        <f t="shared" si="0"/>
        <v xml:space="preserve"> </v>
      </c>
      <c r="Q15" s="10" t="str">
        <f t="shared" si="0"/>
        <v xml:space="preserve"> </v>
      </c>
      <c r="R15" s="10" t="str">
        <f t="shared" si="0"/>
        <v xml:space="preserve"> </v>
      </c>
      <c r="S15" s="10" t="str">
        <f t="shared" si="0"/>
        <v xml:space="preserve"> </v>
      </c>
      <c r="T15" s="10" t="str">
        <f t="shared" si="0"/>
        <v xml:space="preserve"> </v>
      </c>
    </row>
    <row r="16" spans="1:20" x14ac:dyDescent="0.35">
      <c r="A16" s="11">
        <v>11</v>
      </c>
      <c r="B16" s="15" t="s">
        <v>28</v>
      </c>
      <c r="C16" s="7" t="s">
        <v>20</v>
      </c>
      <c r="D16" s="7">
        <v>2</v>
      </c>
      <c r="E16" s="7">
        <v>1</v>
      </c>
      <c r="F16" s="13">
        <v>2</v>
      </c>
      <c r="G16" s="10">
        <f t="shared" si="1"/>
        <v>4.9000000000000004</v>
      </c>
      <c r="H16" s="16">
        <f>0.75-0.025-0.025</f>
        <v>0.7</v>
      </c>
      <c r="I16" s="16">
        <v>3.5</v>
      </c>
      <c r="J16" s="16">
        <f>0.75-0.025-0.025</f>
        <v>0.7</v>
      </c>
      <c r="K16" s="16"/>
      <c r="L16" s="10"/>
      <c r="M16" s="10"/>
      <c r="N16" s="17"/>
      <c r="O16" s="10" t="str">
        <f t="shared" si="3"/>
        <v xml:space="preserve"> </v>
      </c>
      <c r="P16" s="10">
        <f t="shared" si="0"/>
        <v>19.600000000000001</v>
      </c>
      <c r="Q16" s="10" t="str">
        <f t="shared" si="0"/>
        <v xml:space="preserve"> </v>
      </c>
      <c r="R16" s="10" t="str">
        <f t="shared" si="0"/>
        <v xml:space="preserve"> </v>
      </c>
      <c r="S16" s="10" t="str">
        <f t="shared" si="0"/>
        <v xml:space="preserve"> </v>
      </c>
      <c r="T16" s="10" t="str">
        <f t="shared" si="0"/>
        <v xml:space="preserve"> </v>
      </c>
    </row>
    <row r="17" spans="1:20" x14ac:dyDescent="0.35">
      <c r="A17" s="11">
        <v>12</v>
      </c>
      <c r="B17" s="15" t="s">
        <v>28</v>
      </c>
      <c r="C17" s="7" t="s">
        <v>21</v>
      </c>
      <c r="D17" s="7">
        <v>2</v>
      </c>
      <c r="E17" s="7">
        <v>1</v>
      </c>
      <c r="F17" s="13">
        <v>1</v>
      </c>
      <c r="G17" s="10">
        <f t="shared" si="1"/>
        <v>4.9000000000000004</v>
      </c>
      <c r="H17" s="16">
        <f t="shared" ref="H17:J21" si="5">0.75-0.025-0.025</f>
        <v>0.7</v>
      </c>
      <c r="I17" s="16">
        <v>3.5</v>
      </c>
      <c r="J17" s="16">
        <f t="shared" si="5"/>
        <v>0.7</v>
      </c>
      <c r="K17" s="18"/>
      <c r="L17" s="18"/>
      <c r="M17" s="18"/>
      <c r="N17" s="17"/>
      <c r="O17" s="10" t="str">
        <f t="shared" si="3"/>
        <v xml:space="preserve"> </v>
      </c>
      <c r="P17" s="10" t="str">
        <f t="shared" si="0"/>
        <v xml:space="preserve"> </v>
      </c>
      <c r="Q17" s="10">
        <f t="shared" si="0"/>
        <v>9.8000000000000007</v>
      </c>
      <c r="R17" s="10" t="str">
        <f t="shared" si="0"/>
        <v xml:space="preserve"> </v>
      </c>
      <c r="S17" s="10" t="str">
        <f t="shared" si="0"/>
        <v xml:space="preserve"> </v>
      </c>
      <c r="T17" s="10" t="str">
        <f t="shared" si="0"/>
        <v xml:space="preserve"> </v>
      </c>
    </row>
    <row r="18" spans="1:20" x14ac:dyDescent="0.35">
      <c r="A18" s="11">
        <v>13</v>
      </c>
      <c r="B18" s="15" t="s">
        <v>29</v>
      </c>
      <c r="C18" s="7" t="s">
        <v>20</v>
      </c>
      <c r="D18" s="7">
        <v>2</v>
      </c>
      <c r="E18" s="7">
        <v>1</v>
      </c>
      <c r="F18" s="13">
        <v>2</v>
      </c>
      <c r="G18" s="10">
        <f t="shared" si="1"/>
        <v>4.9000000000000004</v>
      </c>
      <c r="H18" s="16">
        <f t="shared" si="5"/>
        <v>0.7</v>
      </c>
      <c r="I18" s="16">
        <v>3.5</v>
      </c>
      <c r="J18" s="16">
        <f t="shared" si="5"/>
        <v>0.7</v>
      </c>
      <c r="L18" s="18"/>
      <c r="M18" s="18"/>
      <c r="N18" s="17"/>
      <c r="O18" s="10" t="str">
        <f t="shared" si="3"/>
        <v xml:space="preserve"> </v>
      </c>
      <c r="P18" s="10">
        <f t="shared" si="0"/>
        <v>19.600000000000001</v>
      </c>
      <c r="Q18" s="10" t="str">
        <f t="shared" si="0"/>
        <v xml:space="preserve"> </v>
      </c>
      <c r="R18" s="10" t="str">
        <f t="shared" si="0"/>
        <v xml:space="preserve"> </v>
      </c>
      <c r="S18" s="10" t="str">
        <f t="shared" si="0"/>
        <v xml:space="preserve"> </v>
      </c>
      <c r="T18" s="10" t="str">
        <f t="shared" si="0"/>
        <v xml:space="preserve"> </v>
      </c>
    </row>
    <row r="19" spans="1:20" x14ac:dyDescent="0.35">
      <c r="A19" s="11">
        <v>14</v>
      </c>
      <c r="B19" s="15" t="s">
        <v>29</v>
      </c>
      <c r="C19" s="7" t="s">
        <v>21</v>
      </c>
      <c r="D19" s="7">
        <v>2</v>
      </c>
      <c r="E19" s="7">
        <v>1</v>
      </c>
      <c r="F19" s="13">
        <v>1</v>
      </c>
      <c r="G19" s="10">
        <f t="shared" si="1"/>
        <v>4.9000000000000004</v>
      </c>
      <c r="H19" s="16">
        <f t="shared" si="5"/>
        <v>0.7</v>
      </c>
      <c r="I19" s="16">
        <v>3.5</v>
      </c>
      <c r="J19" s="16">
        <f t="shared" si="5"/>
        <v>0.7</v>
      </c>
      <c r="K19" s="16"/>
      <c r="L19" s="10"/>
      <c r="M19" s="10"/>
      <c r="N19" s="17"/>
      <c r="O19" s="10" t="str">
        <f t="shared" si="3"/>
        <v xml:space="preserve"> </v>
      </c>
      <c r="P19" s="10" t="str">
        <f t="shared" si="0"/>
        <v xml:space="preserve"> </v>
      </c>
      <c r="Q19" s="10">
        <f t="shared" si="0"/>
        <v>9.8000000000000007</v>
      </c>
      <c r="R19" s="10" t="str">
        <f t="shared" si="0"/>
        <v xml:space="preserve"> </v>
      </c>
      <c r="S19" s="10" t="str">
        <f t="shared" si="0"/>
        <v xml:space="preserve"> </v>
      </c>
      <c r="T19" s="10" t="str">
        <f t="shared" si="0"/>
        <v xml:space="preserve"> </v>
      </c>
    </row>
    <row r="20" spans="1:20" x14ac:dyDescent="0.35">
      <c r="A20" s="11">
        <v>15</v>
      </c>
      <c r="B20" s="15" t="s">
        <v>35</v>
      </c>
      <c r="C20" s="7" t="s">
        <v>20</v>
      </c>
      <c r="D20" s="7">
        <v>2</v>
      </c>
      <c r="E20" s="7">
        <v>1</v>
      </c>
      <c r="F20" s="13">
        <v>1</v>
      </c>
      <c r="G20" s="10">
        <f t="shared" si="1"/>
        <v>2.2749999999999999</v>
      </c>
      <c r="H20" s="16">
        <f>0.75-0.025-0.025</f>
        <v>0.7</v>
      </c>
      <c r="I20" s="16">
        <f>I16/4</f>
        <v>0.875</v>
      </c>
      <c r="J20" s="16">
        <f>0.75-0.025-0.025</f>
        <v>0.7</v>
      </c>
      <c r="K20" s="16"/>
      <c r="L20" s="10"/>
      <c r="M20" s="10"/>
      <c r="N20" s="17"/>
      <c r="O20" s="10" t="str">
        <f t="shared" si="3"/>
        <v xml:space="preserve"> </v>
      </c>
      <c r="P20" s="10">
        <f t="shared" si="0"/>
        <v>4.55</v>
      </c>
      <c r="Q20" s="10" t="str">
        <f t="shared" si="0"/>
        <v xml:space="preserve"> </v>
      </c>
      <c r="R20" s="10" t="str">
        <f t="shared" si="0"/>
        <v xml:space="preserve"> </v>
      </c>
      <c r="S20" s="10" t="str">
        <f t="shared" si="0"/>
        <v xml:space="preserve"> </v>
      </c>
      <c r="T20" s="10" t="str">
        <f t="shared" si="0"/>
        <v xml:space="preserve"> </v>
      </c>
    </row>
    <row r="21" spans="1:20" x14ac:dyDescent="0.35">
      <c r="A21" s="11">
        <v>16</v>
      </c>
      <c r="B21" s="15" t="s">
        <v>35</v>
      </c>
      <c r="C21" s="7" t="s">
        <v>21</v>
      </c>
      <c r="D21" s="7">
        <v>2</v>
      </c>
      <c r="E21" s="7">
        <v>1</v>
      </c>
      <c r="F21" s="13">
        <v>2</v>
      </c>
      <c r="G21" s="10">
        <f t="shared" si="1"/>
        <v>2.2749999999999999</v>
      </c>
      <c r="H21" s="16">
        <f t="shared" si="5"/>
        <v>0.7</v>
      </c>
      <c r="I21" s="16">
        <f>I17/4</f>
        <v>0.875</v>
      </c>
      <c r="J21" s="16">
        <f t="shared" si="5"/>
        <v>0.7</v>
      </c>
      <c r="K21" s="16"/>
      <c r="L21" s="10"/>
      <c r="M21" s="10"/>
      <c r="N21" s="17"/>
      <c r="O21" s="10" t="str">
        <f t="shared" si="3"/>
        <v xml:space="preserve"> </v>
      </c>
      <c r="P21" s="10" t="str">
        <f t="shared" si="0"/>
        <v xml:space="preserve"> </v>
      </c>
      <c r="Q21" s="10">
        <f t="shared" si="0"/>
        <v>9.1</v>
      </c>
      <c r="R21" s="10" t="str">
        <f t="shared" si="0"/>
        <v xml:space="preserve"> </v>
      </c>
      <c r="S21" s="10" t="str">
        <f t="shared" si="0"/>
        <v xml:space="preserve"> </v>
      </c>
      <c r="T21" s="10" t="str">
        <f t="shared" si="0"/>
        <v xml:space="preserve"> </v>
      </c>
    </row>
    <row r="22" spans="1:20" x14ac:dyDescent="0.35">
      <c r="A22" s="11">
        <v>17</v>
      </c>
      <c r="B22" s="15" t="s">
        <v>30</v>
      </c>
      <c r="C22" s="7" t="s">
        <v>24</v>
      </c>
      <c r="D22" s="7">
        <v>2</v>
      </c>
      <c r="E22" s="7">
        <v>1</v>
      </c>
      <c r="F22" s="13">
        <f>ROUND((I16/4)/0.1+1,0)</f>
        <v>10</v>
      </c>
      <c r="G22" s="10">
        <f t="shared" si="1"/>
        <v>2.06</v>
      </c>
      <c r="H22" s="16">
        <f>0.3-0.025-0.025</f>
        <v>0.24999999999999997</v>
      </c>
      <c r="I22" s="16">
        <f t="shared" ref="I22:I24" si="6">0.75-0.025-0.025</f>
        <v>0.7</v>
      </c>
      <c r="J22" s="16">
        <f>0.3-0.025-0.025</f>
        <v>0.24999999999999997</v>
      </c>
      <c r="K22" s="16">
        <f t="shared" ref="K22:K24" si="7">0.75-0.025-0.025</f>
        <v>0.7</v>
      </c>
      <c r="L22" s="10">
        <v>0.08</v>
      </c>
      <c r="M22" s="10">
        <v>0.08</v>
      </c>
      <c r="N22" s="17"/>
      <c r="O22" s="10" t="str">
        <f t="shared" si="3"/>
        <v xml:space="preserve"> </v>
      </c>
      <c r="P22" s="10" t="str">
        <f t="shared" si="0"/>
        <v xml:space="preserve"> </v>
      </c>
      <c r="Q22" s="10" t="str">
        <f t="shared" si="0"/>
        <v xml:space="preserve"> </v>
      </c>
      <c r="R22" s="10" t="str">
        <f t="shared" si="0"/>
        <v xml:space="preserve"> </v>
      </c>
      <c r="S22" s="10" t="str">
        <f t="shared" si="0"/>
        <v xml:space="preserve"> </v>
      </c>
      <c r="T22" s="10">
        <f t="shared" si="0"/>
        <v>41.2</v>
      </c>
    </row>
    <row r="23" spans="1:20" x14ac:dyDescent="0.35">
      <c r="A23" s="11">
        <v>18</v>
      </c>
      <c r="B23" s="15" t="s">
        <v>31</v>
      </c>
      <c r="C23" s="7" t="s">
        <v>24</v>
      </c>
      <c r="D23" s="7">
        <v>2</v>
      </c>
      <c r="E23" s="7">
        <v>1</v>
      </c>
      <c r="F23" s="13">
        <f t="shared" ref="F23" si="8">ROUND((I17/4)/0.1+1,0)</f>
        <v>10</v>
      </c>
      <c r="G23" s="10">
        <f t="shared" si="1"/>
        <v>2.06</v>
      </c>
      <c r="H23" s="16">
        <f>0.3-0.025-0.025</f>
        <v>0.24999999999999997</v>
      </c>
      <c r="I23" s="16">
        <f t="shared" si="6"/>
        <v>0.7</v>
      </c>
      <c r="J23" s="16">
        <f>0.3-0.025-0.025</f>
        <v>0.24999999999999997</v>
      </c>
      <c r="K23" s="16">
        <f t="shared" si="7"/>
        <v>0.7</v>
      </c>
      <c r="L23" s="10">
        <v>0.08</v>
      </c>
      <c r="M23" s="10">
        <v>0.08</v>
      </c>
      <c r="N23" s="17"/>
      <c r="O23" s="10" t="str">
        <f t="shared" si="3"/>
        <v xml:space="preserve"> </v>
      </c>
      <c r="P23" s="10" t="str">
        <f t="shared" si="3"/>
        <v xml:space="preserve"> </v>
      </c>
      <c r="Q23" s="10" t="str">
        <f t="shared" si="3"/>
        <v xml:space="preserve"> </v>
      </c>
      <c r="R23" s="10" t="str">
        <f t="shared" si="3"/>
        <v xml:space="preserve"> </v>
      </c>
      <c r="S23" s="10" t="str">
        <f t="shared" si="3"/>
        <v xml:space="preserve"> </v>
      </c>
      <c r="T23" s="10">
        <f t="shared" si="3"/>
        <v>41.2</v>
      </c>
    </row>
    <row r="24" spans="1:20" x14ac:dyDescent="0.35">
      <c r="A24" s="11">
        <v>19</v>
      </c>
      <c r="B24" s="15" t="s">
        <v>32</v>
      </c>
      <c r="C24" s="7" t="s">
        <v>24</v>
      </c>
      <c r="D24" s="7">
        <v>2</v>
      </c>
      <c r="E24" s="7">
        <v>1</v>
      </c>
      <c r="F24" s="13">
        <f>ROUND((I18/2)/0.175+1,0)</f>
        <v>11</v>
      </c>
      <c r="G24" s="10">
        <f t="shared" si="1"/>
        <v>2.06</v>
      </c>
      <c r="H24" s="16">
        <f>0.3-0.025-0.025</f>
        <v>0.24999999999999997</v>
      </c>
      <c r="I24" s="16">
        <f t="shared" si="6"/>
        <v>0.7</v>
      </c>
      <c r="J24" s="16">
        <f>0.3-0.025-0.025</f>
        <v>0.24999999999999997</v>
      </c>
      <c r="K24" s="16">
        <f t="shared" si="7"/>
        <v>0.7</v>
      </c>
      <c r="L24" s="10">
        <v>0.08</v>
      </c>
      <c r="M24" s="10">
        <v>0.08</v>
      </c>
      <c r="N24" s="17"/>
      <c r="O24" s="10" t="str">
        <f t="shared" si="3"/>
        <v xml:space="preserve"> </v>
      </c>
      <c r="P24" s="10" t="str">
        <f t="shared" si="3"/>
        <v xml:space="preserve"> </v>
      </c>
      <c r="Q24" s="10" t="str">
        <f t="shared" si="3"/>
        <v xml:space="preserve"> </v>
      </c>
      <c r="R24" s="10" t="str">
        <f t="shared" si="3"/>
        <v xml:space="preserve"> </v>
      </c>
      <c r="S24" s="10" t="str">
        <f t="shared" si="3"/>
        <v xml:space="preserve"> </v>
      </c>
      <c r="T24" s="10">
        <f t="shared" si="3"/>
        <v>45.32</v>
      </c>
    </row>
    <row r="25" spans="1:20" x14ac:dyDescent="0.35">
      <c r="A25" s="11">
        <v>20</v>
      </c>
      <c r="B25" s="15" t="s">
        <v>33</v>
      </c>
      <c r="C25" s="7" t="s">
        <v>23</v>
      </c>
      <c r="D25" s="7">
        <v>2</v>
      </c>
      <c r="E25" s="7">
        <v>1</v>
      </c>
      <c r="F25" s="13">
        <v>2</v>
      </c>
      <c r="G25" s="10">
        <f t="shared" si="1"/>
        <v>4.9000000000000004</v>
      </c>
      <c r="H25" s="16">
        <f t="shared" ref="H25:J25" si="9">0.75-0.025-0.025</f>
        <v>0.7</v>
      </c>
      <c r="I25" s="16">
        <v>3.5</v>
      </c>
      <c r="J25" s="16">
        <f t="shared" si="9"/>
        <v>0.7</v>
      </c>
      <c r="K25" s="16"/>
      <c r="L25" s="10"/>
      <c r="M25" s="10"/>
      <c r="N25" s="17"/>
      <c r="O25" s="10" t="str">
        <f t="shared" si="3"/>
        <v xml:space="preserve"> </v>
      </c>
      <c r="P25" s="10" t="str">
        <f t="shared" si="3"/>
        <v xml:space="preserve"> </v>
      </c>
      <c r="Q25" s="10" t="str">
        <f t="shared" si="3"/>
        <v xml:space="preserve"> </v>
      </c>
      <c r="R25" s="10" t="str">
        <f t="shared" si="3"/>
        <v xml:space="preserve"> </v>
      </c>
      <c r="S25" s="10">
        <f t="shared" si="3"/>
        <v>19.600000000000001</v>
      </c>
      <c r="T25" s="10" t="str">
        <f t="shared" si="3"/>
        <v xml:space="preserve"> </v>
      </c>
    </row>
    <row r="26" spans="1:20" x14ac:dyDescent="0.35">
      <c r="A26" s="11">
        <v>21</v>
      </c>
      <c r="B26" s="12" t="s">
        <v>36</v>
      </c>
      <c r="C26" s="7"/>
      <c r="D26" s="7"/>
      <c r="E26" s="7"/>
      <c r="F26" s="13"/>
      <c r="G26" s="10"/>
      <c r="H26" s="16"/>
      <c r="I26" s="16"/>
      <c r="J26" s="16"/>
      <c r="K26" s="16"/>
      <c r="L26" s="10"/>
      <c r="M26" s="10"/>
      <c r="N26" s="17"/>
      <c r="O26" s="10" t="str">
        <f t="shared" si="3"/>
        <v xml:space="preserve"> </v>
      </c>
      <c r="P26" s="10" t="str">
        <f t="shared" si="3"/>
        <v xml:space="preserve"> </v>
      </c>
      <c r="Q26" s="10" t="str">
        <f t="shared" si="3"/>
        <v xml:space="preserve"> </v>
      </c>
      <c r="R26" s="10" t="str">
        <f t="shared" si="3"/>
        <v xml:space="preserve"> </v>
      </c>
      <c r="S26" s="10" t="str">
        <f t="shared" si="3"/>
        <v xml:space="preserve"> </v>
      </c>
      <c r="T26" s="10" t="str">
        <f t="shared" si="3"/>
        <v xml:space="preserve"> </v>
      </c>
    </row>
    <row r="27" spans="1:20" x14ac:dyDescent="0.35">
      <c r="A27" s="11">
        <v>22</v>
      </c>
      <c r="B27" s="15" t="s">
        <v>28</v>
      </c>
      <c r="C27" s="7" t="s">
        <v>20</v>
      </c>
      <c r="D27" s="7">
        <v>2</v>
      </c>
      <c r="E27" s="7">
        <v>1</v>
      </c>
      <c r="F27" s="13">
        <v>2</v>
      </c>
      <c r="G27" s="10">
        <f t="shared" si="1"/>
        <v>7.5</v>
      </c>
      <c r="H27" s="16">
        <f>0.75-0.025-0.025</f>
        <v>0.7</v>
      </c>
      <c r="I27" s="14">
        <v>6.1</v>
      </c>
      <c r="J27" s="16">
        <f>0.75-0.025-0.025</f>
        <v>0.7</v>
      </c>
      <c r="K27" s="18"/>
      <c r="L27" s="18"/>
      <c r="M27" s="18"/>
      <c r="N27" s="17"/>
      <c r="O27" s="10" t="str">
        <f t="shared" si="3"/>
        <v xml:space="preserve"> </v>
      </c>
      <c r="P27" s="10">
        <f t="shared" si="3"/>
        <v>30</v>
      </c>
      <c r="Q27" s="10" t="str">
        <f t="shared" si="3"/>
        <v xml:space="preserve"> </v>
      </c>
      <c r="R27" s="10" t="str">
        <f t="shared" si="3"/>
        <v xml:space="preserve"> </v>
      </c>
      <c r="S27" s="10" t="str">
        <f t="shared" si="3"/>
        <v xml:space="preserve"> </v>
      </c>
      <c r="T27" s="10" t="str">
        <f t="shared" si="3"/>
        <v xml:space="preserve"> </v>
      </c>
    </row>
    <row r="28" spans="1:20" x14ac:dyDescent="0.35">
      <c r="A28" s="11">
        <v>23</v>
      </c>
      <c r="B28" s="15" t="s">
        <v>28</v>
      </c>
      <c r="C28" s="7" t="s">
        <v>21</v>
      </c>
      <c r="D28" s="7">
        <v>2</v>
      </c>
      <c r="E28" s="7">
        <v>1</v>
      </c>
      <c r="F28" s="13">
        <v>1</v>
      </c>
      <c r="G28" s="10">
        <f t="shared" si="1"/>
        <v>7.5</v>
      </c>
      <c r="H28" s="16">
        <f t="shared" ref="H28:K38" si="10">0.75-0.025-0.025</f>
        <v>0.7</v>
      </c>
      <c r="I28" s="14">
        <v>6.1</v>
      </c>
      <c r="J28" s="16">
        <f t="shared" si="10"/>
        <v>0.7</v>
      </c>
      <c r="K28" s="18"/>
      <c r="L28" s="18"/>
      <c r="M28" s="18"/>
      <c r="N28" s="17"/>
      <c r="O28" s="10" t="str">
        <f t="shared" si="3"/>
        <v xml:space="preserve"> </v>
      </c>
      <c r="P28" s="10" t="str">
        <f t="shared" si="3"/>
        <v xml:space="preserve"> </v>
      </c>
      <c r="Q28" s="10">
        <f t="shared" si="3"/>
        <v>15</v>
      </c>
      <c r="R28" s="10" t="str">
        <f t="shared" si="3"/>
        <v xml:space="preserve"> </v>
      </c>
      <c r="S28" s="10" t="str">
        <f t="shared" si="3"/>
        <v xml:space="preserve"> </v>
      </c>
      <c r="T28" s="10" t="str">
        <f t="shared" si="3"/>
        <v xml:space="preserve"> </v>
      </c>
    </row>
    <row r="29" spans="1:20" x14ac:dyDescent="0.35">
      <c r="A29" s="11">
        <v>24</v>
      </c>
      <c r="B29" s="15" t="s">
        <v>29</v>
      </c>
      <c r="C29" s="7" t="s">
        <v>20</v>
      </c>
      <c r="D29" s="7">
        <v>2</v>
      </c>
      <c r="E29" s="7">
        <v>1</v>
      </c>
      <c r="F29" s="13">
        <v>2</v>
      </c>
      <c r="G29" s="10">
        <f t="shared" si="1"/>
        <v>7.5</v>
      </c>
      <c r="H29" s="16">
        <f t="shared" si="10"/>
        <v>0.7</v>
      </c>
      <c r="I29" s="14">
        <v>6.1</v>
      </c>
      <c r="J29" s="16">
        <f t="shared" si="10"/>
        <v>0.7</v>
      </c>
      <c r="K29" s="18"/>
      <c r="L29" s="18"/>
      <c r="M29" s="18"/>
      <c r="N29" s="17"/>
      <c r="O29" s="10" t="str">
        <f t="shared" si="3"/>
        <v xml:space="preserve"> </v>
      </c>
      <c r="P29" s="10">
        <f t="shared" si="3"/>
        <v>30</v>
      </c>
      <c r="Q29" s="10" t="str">
        <f t="shared" si="3"/>
        <v xml:space="preserve"> </v>
      </c>
      <c r="R29" s="10" t="str">
        <f t="shared" si="3"/>
        <v xml:space="preserve"> </v>
      </c>
      <c r="S29" s="10" t="str">
        <f t="shared" si="3"/>
        <v xml:space="preserve"> </v>
      </c>
      <c r="T29" s="10" t="str">
        <f t="shared" si="3"/>
        <v xml:space="preserve"> </v>
      </c>
    </row>
    <row r="30" spans="1:20" x14ac:dyDescent="0.35">
      <c r="A30" s="11">
        <v>25</v>
      </c>
      <c r="B30" s="15" t="s">
        <v>29</v>
      </c>
      <c r="C30" s="7" t="s">
        <v>21</v>
      </c>
      <c r="D30" s="7">
        <v>2</v>
      </c>
      <c r="E30" s="7">
        <v>1</v>
      </c>
      <c r="F30" s="13">
        <v>1</v>
      </c>
      <c r="G30" s="10">
        <f t="shared" si="1"/>
        <v>7.5</v>
      </c>
      <c r="H30" s="16">
        <f t="shared" si="10"/>
        <v>0.7</v>
      </c>
      <c r="I30" s="14">
        <v>6.1</v>
      </c>
      <c r="J30" s="16">
        <f t="shared" si="10"/>
        <v>0.7</v>
      </c>
      <c r="K30" s="16"/>
      <c r="L30" s="10"/>
      <c r="M30" s="10"/>
      <c r="N30" s="17"/>
      <c r="O30" s="10" t="str">
        <f t="shared" si="3"/>
        <v xml:space="preserve"> </v>
      </c>
      <c r="P30" s="10" t="str">
        <f t="shared" si="3"/>
        <v xml:space="preserve"> </v>
      </c>
      <c r="Q30" s="10">
        <f t="shared" si="3"/>
        <v>15</v>
      </c>
      <c r="R30" s="10" t="str">
        <f t="shared" si="3"/>
        <v xml:space="preserve"> </v>
      </c>
      <c r="S30" s="10" t="str">
        <f t="shared" si="3"/>
        <v xml:space="preserve"> </v>
      </c>
      <c r="T30" s="10" t="str">
        <f t="shared" si="3"/>
        <v xml:space="preserve"> </v>
      </c>
    </row>
    <row r="31" spans="1:20" x14ac:dyDescent="0.35">
      <c r="A31" s="11">
        <v>26</v>
      </c>
      <c r="B31" s="15" t="s">
        <v>37</v>
      </c>
      <c r="C31" s="7" t="s">
        <v>20</v>
      </c>
      <c r="D31" s="7">
        <v>2</v>
      </c>
      <c r="E31" s="7">
        <v>1</v>
      </c>
      <c r="F31" s="13">
        <v>1</v>
      </c>
      <c r="G31" s="10">
        <f t="shared" si="1"/>
        <v>2.9249999999999998</v>
      </c>
      <c r="H31" s="16">
        <f>0.75-0.025-0.025</f>
        <v>0.7</v>
      </c>
      <c r="I31" s="14">
        <f>I27/4</f>
        <v>1.5249999999999999</v>
      </c>
      <c r="J31" s="16">
        <f>0.75-0.025-0.025</f>
        <v>0.7</v>
      </c>
      <c r="K31" s="18"/>
      <c r="L31" s="18"/>
      <c r="M31" s="18"/>
      <c r="N31" s="17"/>
      <c r="O31" s="10" t="str">
        <f t="shared" si="3"/>
        <v xml:space="preserve"> </v>
      </c>
      <c r="P31" s="10">
        <f t="shared" si="3"/>
        <v>5.85</v>
      </c>
      <c r="Q31" s="10" t="str">
        <f t="shared" si="3"/>
        <v xml:space="preserve"> </v>
      </c>
      <c r="R31" s="10" t="str">
        <f t="shared" si="3"/>
        <v xml:space="preserve"> </v>
      </c>
      <c r="S31" s="10" t="str">
        <f t="shared" si="3"/>
        <v xml:space="preserve"> </v>
      </c>
      <c r="T31" s="10" t="str">
        <f t="shared" si="3"/>
        <v xml:space="preserve"> </v>
      </c>
    </row>
    <row r="32" spans="1:20" x14ac:dyDescent="0.35">
      <c r="A32" s="11">
        <v>27</v>
      </c>
      <c r="B32" s="15" t="s">
        <v>38</v>
      </c>
      <c r="C32" s="7" t="s">
        <v>21</v>
      </c>
      <c r="D32" s="7">
        <v>2</v>
      </c>
      <c r="E32" s="7">
        <v>1</v>
      </c>
      <c r="F32" s="13">
        <v>2</v>
      </c>
      <c r="G32" s="10">
        <f t="shared" si="1"/>
        <v>2.9249999999999998</v>
      </c>
      <c r="H32" s="16">
        <f>0.75-0.025-0.025</f>
        <v>0.7</v>
      </c>
      <c r="I32" s="14">
        <f>I27/4</f>
        <v>1.5249999999999999</v>
      </c>
      <c r="J32" s="16">
        <f>0.75-0.025-0.025</f>
        <v>0.7</v>
      </c>
      <c r="K32" s="18"/>
      <c r="L32" s="18"/>
      <c r="M32" s="19"/>
      <c r="N32" s="17"/>
      <c r="O32" s="10" t="str">
        <f t="shared" si="3"/>
        <v xml:space="preserve"> </v>
      </c>
      <c r="P32" s="10" t="str">
        <f t="shared" si="3"/>
        <v xml:space="preserve"> </v>
      </c>
      <c r="Q32" s="10">
        <f t="shared" si="3"/>
        <v>11.7</v>
      </c>
      <c r="R32" s="10" t="str">
        <f t="shared" si="3"/>
        <v xml:space="preserve"> </v>
      </c>
      <c r="S32" s="10" t="str">
        <f t="shared" si="3"/>
        <v xml:space="preserve"> </v>
      </c>
      <c r="T32" s="10" t="str">
        <f t="shared" si="3"/>
        <v xml:space="preserve"> </v>
      </c>
    </row>
    <row r="33" spans="1:20" x14ac:dyDescent="0.35">
      <c r="A33" s="11">
        <v>28</v>
      </c>
      <c r="B33" s="15" t="s">
        <v>39</v>
      </c>
      <c r="C33" s="7" t="s">
        <v>20</v>
      </c>
      <c r="D33" s="7">
        <v>2</v>
      </c>
      <c r="E33" s="7">
        <v>1</v>
      </c>
      <c r="F33" s="13">
        <v>1</v>
      </c>
      <c r="G33" s="10">
        <f t="shared" si="1"/>
        <v>2.9249999999999998</v>
      </c>
      <c r="H33" s="16">
        <f t="shared" si="10"/>
        <v>0.7</v>
      </c>
      <c r="I33" s="14">
        <f>I27/4</f>
        <v>1.5249999999999999</v>
      </c>
      <c r="J33" s="16">
        <f t="shared" si="10"/>
        <v>0.7</v>
      </c>
      <c r="K33" s="18"/>
      <c r="L33" s="18"/>
      <c r="M33" s="19"/>
      <c r="N33" s="17"/>
      <c r="O33" s="10" t="str">
        <f t="shared" si="3"/>
        <v xml:space="preserve"> </v>
      </c>
      <c r="P33" s="10">
        <f t="shared" si="3"/>
        <v>5.85</v>
      </c>
      <c r="Q33" s="10" t="str">
        <f t="shared" si="3"/>
        <v xml:space="preserve"> </v>
      </c>
      <c r="R33" s="10" t="str">
        <f t="shared" si="3"/>
        <v xml:space="preserve"> </v>
      </c>
      <c r="S33" s="10" t="str">
        <f t="shared" si="3"/>
        <v xml:space="preserve"> </v>
      </c>
      <c r="T33" s="10" t="str">
        <f t="shared" si="3"/>
        <v xml:space="preserve"> </v>
      </c>
    </row>
    <row r="34" spans="1:20" x14ac:dyDescent="0.35">
      <c r="A34" s="11">
        <v>29</v>
      </c>
      <c r="B34" s="15" t="s">
        <v>40</v>
      </c>
      <c r="C34" s="7" t="s">
        <v>21</v>
      </c>
      <c r="D34" s="7">
        <v>2</v>
      </c>
      <c r="E34" s="7">
        <v>1</v>
      </c>
      <c r="F34" s="13">
        <v>2</v>
      </c>
      <c r="G34" s="10">
        <f t="shared" si="1"/>
        <v>2.9249999999999998</v>
      </c>
      <c r="H34" s="16">
        <f t="shared" si="10"/>
        <v>0.7</v>
      </c>
      <c r="I34" s="14">
        <f>I27/4</f>
        <v>1.5249999999999999</v>
      </c>
      <c r="J34" s="16">
        <f t="shared" si="10"/>
        <v>0.7</v>
      </c>
      <c r="K34" s="18"/>
      <c r="L34" s="18"/>
      <c r="M34" s="19"/>
      <c r="N34" s="17"/>
      <c r="O34" s="10" t="str">
        <f t="shared" si="3"/>
        <v xml:space="preserve"> </v>
      </c>
      <c r="P34" s="10" t="str">
        <f t="shared" si="3"/>
        <v xml:space="preserve"> </v>
      </c>
      <c r="Q34" s="10">
        <f t="shared" si="3"/>
        <v>11.7</v>
      </c>
      <c r="R34" s="10" t="str">
        <f t="shared" si="3"/>
        <v xml:space="preserve"> </v>
      </c>
      <c r="S34" s="10" t="str">
        <f t="shared" si="3"/>
        <v xml:space="preserve"> </v>
      </c>
      <c r="T34" s="10" t="str">
        <f t="shared" si="3"/>
        <v xml:space="preserve"> </v>
      </c>
    </row>
    <row r="35" spans="1:20" x14ac:dyDescent="0.35">
      <c r="A35" s="11">
        <v>30</v>
      </c>
      <c r="B35" s="15" t="s">
        <v>41</v>
      </c>
      <c r="C35" s="7" t="s">
        <v>21</v>
      </c>
      <c r="D35" s="7">
        <v>2</v>
      </c>
      <c r="E35" s="7">
        <v>1</v>
      </c>
      <c r="F35" s="13">
        <v>2</v>
      </c>
      <c r="G35" s="10">
        <f t="shared" si="1"/>
        <v>7.5</v>
      </c>
      <c r="H35" s="16">
        <f t="shared" si="10"/>
        <v>0.7</v>
      </c>
      <c r="I35" s="14">
        <v>6.1</v>
      </c>
      <c r="J35" s="16">
        <f t="shared" si="10"/>
        <v>0.7</v>
      </c>
      <c r="K35" s="18"/>
      <c r="L35" s="18"/>
      <c r="M35" s="19"/>
      <c r="N35" s="17"/>
      <c r="O35" s="10" t="str">
        <f t="shared" si="3"/>
        <v xml:space="preserve"> </v>
      </c>
      <c r="P35" s="10" t="str">
        <f t="shared" si="3"/>
        <v xml:space="preserve"> </v>
      </c>
      <c r="Q35" s="10">
        <f t="shared" si="3"/>
        <v>30</v>
      </c>
      <c r="R35" s="10" t="str">
        <f t="shared" si="3"/>
        <v xml:space="preserve"> </v>
      </c>
      <c r="S35" s="10" t="str">
        <f t="shared" si="3"/>
        <v xml:space="preserve"> </v>
      </c>
      <c r="T35" s="10" t="str">
        <f t="shared" si="3"/>
        <v xml:space="preserve"> </v>
      </c>
    </row>
    <row r="36" spans="1:20" x14ac:dyDescent="0.35">
      <c r="A36" s="11">
        <v>31</v>
      </c>
      <c r="B36" s="15" t="s">
        <v>30</v>
      </c>
      <c r="C36" s="7" t="s">
        <v>24</v>
      </c>
      <c r="D36" s="7">
        <v>2</v>
      </c>
      <c r="E36" s="7">
        <v>1</v>
      </c>
      <c r="F36" s="13">
        <f>ROUND((I27/4)/0.1+1,0)</f>
        <v>16</v>
      </c>
      <c r="G36" s="10">
        <f t="shared" si="1"/>
        <v>2.06</v>
      </c>
      <c r="H36" s="16">
        <f>0.3-0.025-0.025</f>
        <v>0.24999999999999997</v>
      </c>
      <c r="I36" s="16">
        <f t="shared" ref="I36:I38" si="11">0.75-0.025-0.025</f>
        <v>0.7</v>
      </c>
      <c r="J36" s="16">
        <f>0.3-0.025-0.025</f>
        <v>0.24999999999999997</v>
      </c>
      <c r="K36" s="16">
        <f t="shared" si="10"/>
        <v>0.7</v>
      </c>
      <c r="L36" s="10">
        <v>0.08</v>
      </c>
      <c r="M36" s="10">
        <v>0.08</v>
      </c>
      <c r="N36" s="17"/>
      <c r="O36" s="10" t="str">
        <f t="shared" si="3"/>
        <v xml:space="preserve"> </v>
      </c>
      <c r="P36" s="10" t="str">
        <f t="shared" si="3"/>
        <v xml:space="preserve"> </v>
      </c>
      <c r="Q36" s="10" t="str">
        <f t="shared" si="3"/>
        <v xml:space="preserve"> </v>
      </c>
      <c r="R36" s="10" t="str">
        <f t="shared" si="3"/>
        <v xml:space="preserve"> </v>
      </c>
      <c r="S36" s="10" t="str">
        <f t="shared" si="3"/>
        <v xml:space="preserve"> </v>
      </c>
      <c r="T36" s="10">
        <f t="shared" si="3"/>
        <v>65.92</v>
      </c>
    </row>
    <row r="37" spans="1:20" x14ac:dyDescent="0.35">
      <c r="A37" s="11">
        <v>32</v>
      </c>
      <c r="B37" s="15" t="s">
        <v>31</v>
      </c>
      <c r="C37" s="7" t="s">
        <v>24</v>
      </c>
      <c r="D37" s="7">
        <v>2</v>
      </c>
      <c r="E37" s="7">
        <v>1</v>
      </c>
      <c r="F37" s="13">
        <f t="shared" ref="F37" si="12">ROUND((I28/4)/0.1+1,0)</f>
        <v>16</v>
      </c>
      <c r="G37" s="10">
        <f t="shared" si="1"/>
        <v>2.06</v>
      </c>
      <c r="H37" s="16">
        <f>0.3-0.025-0.025</f>
        <v>0.24999999999999997</v>
      </c>
      <c r="I37" s="16">
        <f t="shared" si="11"/>
        <v>0.7</v>
      </c>
      <c r="J37" s="16">
        <f>0.3-0.025-0.025</f>
        <v>0.24999999999999997</v>
      </c>
      <c r="K37" s="16">
        <f t="shared" si="10"/>
        <v>0.7</v>
      </c>
      <c r="L37" s="10">
        <v>0.08</v>
      </c>
      <c r="M37" s="10">
        <v>0.08</v>
      </c>
      <c r="N37" s="17"/>
      <c r="O37" s="10" t="str">
        <f t="shared" si="3"/>
        <v xml:space="preserve"> </v>
      </c>
      <c r="P37" s="10" t="str">
        <f t="shared" si="3"/>
        <v xml:space="preserve"> </v>
      </c>
      <c r="Q37" s="10" t="str">
        <f t="shared" si="3"/>
        <v xml:space="preserve"> </v>
      </c>
      <c r="R37" s="10" t="str">
        <f t="shared" si="3"/>
        <v xml:space="preserve"> </v>
      </c>
      <c r="S37" s="10" t="str">
        <f t="shared" si="3"/>
        <v xml:space="preserve"> </v>
      </c>
      <c r="T37" s="10">
        <f t="shared" si="3"/>
        <v>65.92</v>
      </c>
    </row>
    <row r="38" spans="1:20" x14ac:dyDescent="0.35">
      <c r="A38" s="11">
        <v>33</v>
      </c>
      <c r="B38" s="15" t="s">
        <v>32</v>
      </c>
      <c r="C38" s="7" t="s">
        <v>24</v>
      </c>
      <c r="D38" s="7">
        <v>2</v>
      </c>
      <c r="E38" s="7">
        <v>1</v>
      </c>
      <c r="F38" s="13">
        <f>ROUND((I29/2)/0.15+1,0)</f>
        <v>21</v>
      </c>
      <c r="G38" s="10">
        <f t="shared" si="1"/>
        <v>2.06</v>
      </c>
      <c r="H38" s="16">
        <f>0.3-0.025-0.025</f>
        <v>0.24999999999999997</v>
      </c>
      <c r="I38" s="16">
        <f t="shared" si="11"/>
        <v>0.7</v>
      </c>
      <c r="J38" s="16">
        <f>0.3-0.025-0.025</f>
        <v>0.24999999999999997</v>
      </c>
      <c r="K38" s="16">
        <f t="shared" si="10"/>
        <v>0.7</v>
      </c>
      <c r="L38" s="10">
        <v>0.08</v>
      </c>
      <c r="M38" s="10">
        <v>0.08</v>
      </c>
      <c r="N38" s="17"/>
      <c r="O38" s="10" t="str">
        <f t="shared" si="3"/>
        <v xml:space="preserve"> </v>
      </c>
      <c r="P38" s="10" t="str">
        <f t="shared" si="3"/>
        <v xml:space="preserve"> </v>
      </c>
      <c r="Q38" s="10" t="str">
        <f t="shared" si="3"/>
        <v xml:space="preserve"> </v>
      </c>
      <c r="R38" s="10" t="str">
        <f t="shared" si="3"/>
        <v xml:space="preserve"> </v>
      </c>
      <c r="S38" s="10" t="str">
        <f t="shared" si="3"/>
        <v xml:space="preserve"> </v>
      </c>
      <c r="T38" s="10">
        <f t="shared" si="3"/>
        <v>86.52</v>
      </c>
    </row>
    <row r="39" spans="1:20" x14ac:dyDescent="0.35">
      <c r="A39" s="11">
        <v>34</v>
      </c>
      <c r="B39" s="15" t="s">
        <v>33</v>
      </c>
      <c r="C39" s="7" t="s">
        <v>23</v>
      </c>
      <c r="D39" s="7">
        <v>2</v>
      </c>
      <c r="E39" s="7">
        <v>1</v>
      </c>
      <c r="F39" s="13">
        <v>2</v>
      </c>
      <c r="G39" s="10">
        <f t="shared" si="1"/>
        <v>7.5</v>
      </c>
      <c r="H39" s="16">
        <f t="shared" ref="H39:J39" si="13">0.75-0.025-0.025</f>
        <v>0.7</v>
      </c>
      <c r="I39" s="16">
        <v>6.1</v>
      </c>
      <c r="J39" s="16">
        <f t="shared" si="13"/>
        <v>0.7</v>
      </c>
      <c r="K39" s="16"/>
      <c r="L39" s="10"/>
      <c r="M39" s="10"/>
      <c r="N39" s="17"/>
      <c r="O39" s="10" t="str">
        <f t="shared" si="3"/>
        <v xml:space="preserve"> </v>
      </c>
      <c r="P39" s="10" t="str">
        <f t="shared" si="3"/>
        <v xml:space="preserve"> </v>
      </c>
      <c r="Q39" s="10" t="str">
        <f t="shared" si="3"/>
        <v xml:space="preserve"> </v>
      </c>
      <c r="R39" s="10" t="str">
        <f t="shared" si="3"/>
        <v xml:space="preserve"> </v>
      </c>
      <c r="S39" s="10">
        <f t="shared" si="3"/>
        <v>30</v>
      </c>
      <c r="T39" s="10" t="str">
        <f t="shared" si="3"/>
        <v xml:space="preserve"> </v>
      </c>
    </row>
    <row r="40" spans="1:20" x14ac:dyDescent="0.35">
      <c r="A40" s="11">
        <v>35</v>
      </c>
      <c r="B40" s="12" t="s">
        <v>42</v>
      </c>
      <c r="C40" s="7"/>
      <c r="D40" s="7"/>
      <c r="E40" s="7"/>
      <c r="F40" s="13"/>
      <c r="G40" s="10"/>
      <c r="H40" s="16"/>
      <c r="I40" s="16"/>
      <c r="J40" s="16"/>
      <c r="K40" s="16"/>
      <c r="L40" s="10"/>
      <c r="M40" s="10"/>
      <c r="N40" s="17"/>
      <c r="O40" s="10" t="str">
        <f t="shared" si="3"/>
        <v xml:space="preserve"> </v>
      </c>
      <c r="P40" s="10" t="str">
        <f t="shared" si="3"/>
        <v xml:space="preserve"> </v>
      </c>
      <c r="Q40" s="10" t="str">
        <f t="shared" si="3"/>
        <v xml:space="preserve"> </v>
      </c>
      <c r="R40" s="10" t="str">
        <f t="shared" si="3"/>
        <v xml:space="preserve"> </v>
      </c>
      <c r="S40" s="10" t="str">
        <f t="shared" si="3"/>
        <v xml:space="preserve"> </v>
      </c>
      <c r="T40" s="10" t="str">
        <f t="shared" si="3"/>
        <v xml:space="preserve"> </v>
      </c>
    </row>
    <row r="41" spans="1:20" x14ac:dyDescent="0.35">
      <c r="A41" s="11">
        <v>36</v>
      </c>
      <c r="B41" s="15" t="s">
        <v>28</v>
      </c>
      <c r="C41" s="7" t="s">
        <v>20</v>
      </c>
      <c r="D41" s="7">
        <v>2</v>
      </c>
      <c r="E41" s="7">
        <v>1</v>
      </c>
      <c r="F41" s="13">
        <v>2</v>
      </c>
      <c r="G41" s="10">
        <f t="shared" si="1"/>
        <v>4.4000000000000004</v>
      </c>
      <c r="H41" s="16">
        <f t="shared" ref="H41:J48" si="14">0.75-0.025-0.025</f>
        <v>0.7</v>
      </c>
      <c r="I41" s="16">
        <v>3</v>
      </c>
      <c r="J41" s="16">
        <f t="shared" si="14"/>
        <v>0.7</v>
      </c>
      <c r="K41" s="16"/>
      <c r="L41" s="10"/>
      <c r="M41" s="10"/>
      <c r="N41" s="17"/>
      <c r="O41" s="10" t="str">
        <f t="shared" si="3"/>
        <v xml:space="preserve"> </v>
      </c>
      <c r="P41" s="10">
        <f t="shared" si="3"/>
        <v>17.600000000000001</v>
      </c>
      <c r="Q41" s="10" t="str">
        <f t="shared" si="3"/>
        <v xml:space="preserve"> </v>
      </c>
      <c r="R41" s="10" t="str">
        <f t="shared" si="3"/>
        <v xml:space="preserve"> </v>
      </c>
      <c r="S41" s="10" t="str">
        <f t="shared" si="3"/>
        <v xml:space="preserve"> </v>
      </c>
      <c r="T41" s="10" t="str">
        <f t="shared" si="3"/>
        <v xml:space="preserve"> </v>
      </c>
    </row>
    <row r="42" spans="1:20" x14ac:dyDescent="0.35">
      <c r="A42" s="11">
        <v>37</v>
      </c>
      <c r="B42" s="15" t="s">
        <v>28</v>
      </c>
      <c r="C42" s="7" t="s">
        <v>21</v>
      </c>
      <c r="D42" s="7">
        <v>2</v>
      </c>
      <c r="E42" s="7">
        <v>1</v>
      </c>
      <c r="F42" s="13">
        <v>1</v>
      </c>
      <c r="G42" s="10">
        <f t="shared" si="1"/>
        <v>4.4000000000000004</v>
      </c>
      <c r="H42" s="16">
        <f t="shared" si="14"/>
        <v>0.7</v>
      </c>
      <c r="I42" s="16">
        <v>3</v>
      </c>
      <c r="J42" s="16">
        <f t="shared" si="14"/>
        <v>0.7</v>
      </c>
      <c r="K42" s="16"/>
      <c r="L42" s="10"/>
      <c r="M42" s="10"/>
      <c r="N42" s="17"/>
      <c r="O42" s="10" t="str">
        <f t="shared" si="3"/>
        <v xml:space="preserve"> </v>
      </c>
      <c r="P42" s="10" t="str">
        <f t="shared" si="3"/>
        <v xml:space="preserve"> </v>
      </c>
      <c r="Q42" s="10">
        <f t="shared" si="3"/>
        <v>8.8000000000000007</v>
      </c>
      <c r="R42" s="10" t="str">
        <f t="shared" si="3"/>
        <v xml:space="preserve"> </v>
      </c>
      <c r="S42" s="10" t="str">
        <f t="shared" si="3"/>
        <v xml:space="preserve"> </v>
      </c>
      <c r="T42" s="10" t="str">
        <f t="shared" si="3"/>
        <v xml:space="preserve"> </v>
      </c>
    </row>
    <row r="43" spans="1:20" x14ac:dyDescent="0.35">
      <c r="A43" s="11">
        <v>38</v>
      </c>
      <c r="B43" s="15" t="s">
        <v>29</v>
      </c>
      <c r="C43" s="7" t="s">
        <v>20</v>
      </c>
      <c r="D43" s="7">
        <v>2</v>
      </c>
      <c r="E43" s="7">
        <v>1</v>
      </c>
      <c r="F43" s="13">
        <v>2</v>
      </c>
      <c r="G43" s="10">
        <f t="shared" si="1"/>
        <v>4.4000000000000004</v>
      </c>
      <c r="H43" s="16">
        <f t="shared" si="14"/>
        <v>0.7</v>
      </c>
      <c r="I43" s="16">
        <v>3</v>
      </c>
      <c r="J43" s="16">
        <f t="shared" si="14"/>
        <v>0.7</v>
      </c>
      <c r="K43" s="16"/>
      <c r="L43" s="10"/>
      <c r="M43" s="10"/>
      <c r="N43" s="17"/>
      <c r="O43" s="10" t="str">
        <f t="shared" si="3"/>
        <v xml:space="preserve"> </v>
      </c>
      <c r="P43" s="10">
        <f t="shared" si="3"/>
        <v>17.600000000000001</v>
      </c>
      <c r="Q43" s="10" t="str">
        <f t="shared" si="3"/>
        <v xml:space="preserve"> </v>
      </c>
      <c r="R43" s="10" t="str">
        <f t="shared" si="3"/>
        <v xml:space="preserve"> </v>
      </c>
      <c r="S43" s="10" t="str">
        <f t="shared" si="3"/>
        <v xml:space="preserve"> </v>
      </c>
      <c r="T43" s="10" t="str">
        <f t="shared" si="3"/>
        <v xml:space="preserve"> </v>
      </c>
    </row>
    <row r="44" spans="1:20" x14ac:dyDescent="0.35">
      <c r="A44" s="11">
        <v>39</v>
      </c>
      <c r="B44" s="15" t="s">
        <v>29</v>
      </c>
      <c r="C44" s="7" t="s">
        <v>21</v>
      </c>
      <c r="D44" s="7">
        <v>2</v>
      </c>
      <c r="E44" s="7">
        <v>1</v>
      </c>
      <c r="F44" s="13">
        <v>1</v>
      </c>
      <c r="G44" s="10">
        <f t="shared" si="1"/>
        <v>4.4000000000000004</v>
      </c>
      <c r="H44" s="16">
        <f>0.75-0.025-0.025</f>
        <v>0.7</v>
      </c>
      <c r="I44" s="16">
        <v>3</v>
      </c>
      <c r="J44" s="16">
        <f>0.75-0.025-0.025</f>
        <v>0.7</v>
      </c>
      <c r="K44" s="16"/>
      <c r="L44" s="10"/>
      <c r="M44" s="10"/>
      <c r="N44" s="17"/>
      <c r="O44" s="10" t="str">
        <f t="shared" si="3"/>
        <v xml:space="preserve"> </v>
      </c>
      <c r="P44" s="10" t="str">
        <f t="shared" si="3"/>
        <v xml:space="preserve"> </v>
      </c>
      <c r="Q44" s="10">
        <f t="shared" si="3"/>
        <v>8.8000000000000007</v>
      </c>
      <c r="R44" s="10" t="str">
        <f t="shared" si="3"/>
        <v xml:space="preserve"> </v>
      </c>
      <c r="S44" s="10" t="str">
        <f t="shared" si="3"/>
        <v xml:space="preserve"> </v>
      </c>
      <c r="T44" s="10" t="str">
        <f t="shared" si="3"/>
        <v xml:space="preserve"> </v>
      </c>
    </row>
    <row r="45" spans="1:20" x14ac:dyDescent="0.35">
      <c r="A45" s="11">
        <v>40</v>
      </c>
      <c r="B45" s="15" t="s">
        <v>37</v>
      </c>
      <c r="C45" s="7" t="s">
        <v>20</v>
      </c>
      <c r="D45" s="7">
        <v>2</v>
      </c>
      <c r="E45" s="7">
        <v>1</v>
      </c>
      <c r="F45" s="13">
        <v>1</v>
      </c>
      <c r="G45" s="10">
        <f t="shared" si="1"/>
        <v>2.15</v>
      </c>
      <c r="H45" s="16">
        <f>0.75-0.025-0.025</f>
        <v>0.7</v>
      </c>
      <c r="I45" s="16">
        <f>I41/4</f>
        <v>0.75</v>
      </c>
      <c r="J45" s="16">
        <f>0.75-0.025-0.025</f>
        <v>0.7</v>
      </c>
      <c r="K45" s="16"/>
      <c r="L45" s="10"/>
      <c r="M45" s="10"/>
      <c r="N45" s="17"/>
      <c r="O45" s="10" t="str">
        <f t="shared" si="3"/>
        <v xml:space="preserve"> </v>
      </c>
      <c r="P45" s="10">
        <f t="shared" si="3"/>
        <v>4.3</v>
      </c>
      <c r="Q45" s="10" t="str">
        <f t="shared" si="3"/>
        <v xml:space="preserve"> </v>
      </c>
      <c r="R45" s="10" t="str">
        <f t="shared" si="3"/>
        <v xml:space="preserve"> </v>
      </c>
      <c r="S45" s="10" t="str">
        <f t="shared" si="3"/>
        <v xml:space="preserve"> </v>
      </c>
      <c r="T45" s="10" t="str">
        <f t="shared" si="3"/>
        <v xml:space="preserve"> </v>
      </c>
    </row>
    <row r="46" spans="1:20" x14ac:dyDescent="0.35">
      <c r="A46" s="11">
        <v>41</v>
      </c>
      <c r="B46" s="15" t="s">
        <v>38</v>
      </c>
      <c r="C46" s="7" t="s">
        <v>21</v>
      </c>
      <c r="D46" s="7">
        <v>2</v>
      </c>
      <c r="E46" s="7">
        <v>1</v>
      </c>
      <c r="F46" s="13">
        <v>2</v>
      </c>
      <c r="G46" s="10">
        <f t="shared" si="1"/>
        <v>2.15</v>
      </c>
      <c r="H46" s="16">
        <f t="shared" si="14"/>
        <v>0.7</v>
      </c>
      <c r="I46" s="16">
        <f>I41/4</f>
        <v>0.75</v>
      </c>
      <c r="J46" s="16">
        <f t="shared" si="14"/>
        <v>0.7</v>
      </c>
      <c r="K46" s="16"/>
      <c r="L46" s="10"/>
      <c r="M46" s="10"/>
      <c r="N46" s="17"/>
      <c r="O46" s="10" t="str">
        <f t="shared" si="3"/>
        <v xml:space="preserve"> </v>
      </c>
      <c r="P46" s="10" t="str">
        <f t="shared" si="3"/>
        <v xml:space="preserve"> </v>
      </c>
      <c r="Q46" s="10">
        <f t="shared" si="3"/>
        <v>8.6</v>
      </c>
      <c r="R46" s="10" t="str">
        <f t="shared" si="3"/>
        <v xml:space="preserve"> </v>
      </c>
      <c r="S46" s="10" t="str">
        <f t="shared" si="3"/>
        <v xml:space="preserve"> </v>
      </c>
      <c r="T46" s="10" t="str">
        <f t="shared" si="3"/>
        <v xml:space="preserve"> </v>
      </c>
    </row>
    <row r="47" spans="1:20" x14ac:dyDescent="0.35">
      <c r="A47" s="11">
        <v>42</v>
      </c>
      <c r="B47" s="15" t="s">
        <v>39</v>
      </c>
      <c r="C47" s="7" t="s">
        <v>20</v>
      </c>
      <c r="D47" s="7">
        <v>2</v>
      </c>
      <c r="E47" s="7">
        <v>1</v>
      </c>
      <c r="F47" s="13">
        <v>1</v>
      </c>
      <c r="G47" s="10">
        <f t="shared" si="1"/>
        <v>2.15</v>
      </c>
      <c r="H47" s="16">
        <f t="shared" si="14"/>
        <v>0.7</v>
      </c>
      <c r="I47" s="16">
        <f>I41/4</f>
        <v>0.75</v>
      </c>
      <c r="J47" s="16">
        <f t="shared" si="14"/>
        <v>0.7</v>
      </c>
      <c r="K47" s="16"/>
      <c r="L47" s="10"/>
      <c r="M47" s="10"/>
      <c r="N47" s="17"/>
      <c r="O47" s="10" t="str">
        <f t="shared" si="3"/>
        <v xml:space="preserve"> </v>
      </c>
      <c r="P47" s="10">
        <f t="shared" si="3"/>
        <v>4.3</v>
      </c>
      <c r="Q47" s="10" t="str">
        <f t="shared" si="3"/>
        <v xml:space="preserve"> </v>
      </c>
      <c r="R47" s="10" t="str">
        <f t="shared" si="3"/>
        <v xml:space="preserve"> </v>
      </c>
      <c r="S47" s="10" t="str">
        <f t="shared" si="3"/>
        <v xml:space="preserve"> </v>
      </c>
      <c r="T47" s="10" t="str">
        <f t="shared" si="3"/>
        <v xml:space="preserve"> </v>
      </c>
    </row>
    <row r="48" spans="1:20" x14ac:dyDescent="0.35">
      <c r="A48" s="11">
        <v>43</v>
      </c>
      <c r="B48" s="15" t="s">
        <v>40</v>
      </c>
      <c r="C48" s="7" t="s">
        <v>21</v>
      </c>
      <c r="D48" s="7">
        <v>2</v>
      </c>
      <c r="E48" s="7">
        <v>1</v>
      </c>
      <c r="F48" s="13">
        <v>2</v>
      </c>
      <c r="G48" s="10">
        <f t="shared" si="1"/>
        <v>2.15</v>
      </c>
      <c r="H48" s="16">
        <f t="shared" si="14"/>
        <v>0.7</v>
      </c>
      <c r="I48" s="16">
        <f>I41/4</f>
        <v>0.75</v>
      </c>
      <c r="J48" s="16">
        <f t="shared" si="14"/>
        <v>0.7</v>
      </c>
      <c r="K48" s="16"/>
      <c r="L48" s="10"/>
      <c r="M48" s="10"/>
      <c r="N48" s="17"/>
      <c r="O48" s="10" t="str">
        <f t="shared" si="3"/>
        <v xml:space="preserve"> </v>
      </c>
      <c r="P48" s="10" t="str">
        <f t="shared" si="3"/>
        <v xml:space="preserve"> </v>
      </c>
      <c r="Q48" s="10">
        <f t="shared" si="3"/>
        <v>8.6</v>
      </c>
      <c r="R48" s="10" t="str">
        <f t="shared" si="3"/>
        <v xml:space="preserve"> </v>
      </c>
      <c r="S48" s="10" t="str">
        <f t="shared" si="3"/>
        <v xml:space="preserve"> </v>
      </c>
      <c r="T48" s="10" t="str">
        <f t="shared" si="3"/>
        <v xml:space="preserve"> </v>
      </c>
    </row>
    <row r="49" spans="1:20" x14ac:dyDescent="0.35">
      <c r="A49" s="11">
        <v>44</v>
      </c>
      <c r="B49" s="15" t="s">
        <v>30</v>
      </c>
      <c r="C49" s="7" t="s">
        <v>24</v>
      </c>
      <c r="D49" s="7">
        <v>2</v>
      </c>
      <c r="E49" s="7">
        <v>1</v>
      </c>
      <c r="F49" s="13">
        <f>ROUND((I41/4)/0.1+1,0)</f>
        <v>9</v>
      </c>
      <c r="G49" s="10">
        <f t="shared" si="1"/>
        <v>2.06</v>
      </c>
      <c r="H49" s="16">
        <f>0.3-0.025-0.025</f>
        <v>0.24999999999999997</v>
      </c>
      <c r="I49" s="16">
        <f t="shared" ref="I49:I51" si="15">0.75-0.025-0.025</f>
        <v>0.7</v>
      </c>
      <c r="J49" s="16">
        <f>0.3-0.025-0.025</f>
        <v>0.24999999999999997</v>
      </c>
      <c r="K49" s="16">
        <f t="shared" ref="K49:K51" si="16">0.75-0.025-0.025</f>
        <v>0.7</v>
      </c>
      <c r="L49" s="10">
        <v>0.08</v>
      </c>
      <c r="M49" s="10">
        <v>0.08</v>
      </c>
      <c r="N49" s="17"/>
      <c r="O49" s="10" t="str">
        <f t="shared" si="3"/>
        <v xml:space="preserve"> </v>
      </c>
      <c r="P49" s="10" t="str">
        <f t="shared" si="3"/>
        <v xml:space="preserve"> </v>
      </c>
      <c r="Q49" s="10" t="str">
        <f t="shared" si="3"/>
        <v xml:space="preserve"> </v>
      </c>
      <c r="R49" s="10" t="str">
        <f t="shared" si="3"/>
        <v xml:space="preserve"> </v>
      </c>
      <c r="S49" s="10" t="str">
        <f t="shared" si="3"/>
        <v xml:space="preserve"> </v>
      </c>
      <c r="T49" s="10">
        <f t="shared" si="3"/>
        <v>37.08</v>
      </c>
    </row>
    <row r="50" spans="1:20" x14ac:dyDescent="0.35">
      <c r="A50" s="11">
        <v>45</v>
      </c>
      <c r="B50" s="15" t="s">
        <v>31</v>
      </c>
      <c r="C50" s="7" t="s">
        <v>24</v>
      </c>
      <c r="D50" s="7">
        <v>2</v>
      </c>
      <c r="E50" s="7">
        <v>1</v>
      </c>
      <c r="F50" s="13">
        <f t="shared" ref="F50" si="17">ROUND((I42/4)/0.1+1,0)</f>
        <v>9</v>
      </c>
      <c r="G50" s="10">
        <f t="shared" si="1"/>
        <v>2.06</v>
      </c>
      <c r="H50" s="16">
        <f>0.3-0.025-0.025</f>
        <v>0.24999999999999997</v>
      </c>
      <c r="I50" s="16">
        <f t="shared" si="15"/>
        <v>0.7</v>
      </c>
      <c r="J50" s="16">
        <f>0.3-0.025-0.025</f>
        <v>0.24999999999999997</v>
      </c>
      <c r="K50" s="16">
        <f t="shared" si="16"/>
        <v>0.7</v>
      </c>
      <c r="L50" s="10">
        <v>0.08</v>
      </c>
      <c r="M50" s="10">
        <v>0.08</v>
      </c>
      <c r="N50" s="17"/>
      <c r="O50" s="10" t="str">
        <f t="shared" si="3"/>
        <v xml:space="preserve"> </v>
      </c>
      <c r="P50" s="10" t="str">
        <f t="shared" si="3"/>
        <v xml:space="preserve"> </v>
      </c>
      <c r="Q50" s="10" t="str">
        <f t="shared" si="3"/>
        <v xml:space="preserve"> </v>
      </c>
      <c r="R50" s="10" t="str">
        <f t="shared" si="3"/>
        <v xml:space="preserve"> </v>
      </c>
      <c r="S50" s="10" t="str">
        <f t="shared" si="3"/>
        <v xml:space="preserve"> </v>
      </c>
      <c r="T50" s="10">
        <f t="shared" si="3"/>
        <v>37.08</v>
      </c>
    </row>
    <row r="51" spans="1:20" x14ac:dyDescent="0.35">
      <c r="A51" s="11">
        <v>46</v>
      </c>
      <c r="B51" s="15" t="s">
        <v>32</v>
      </c>
      <c r="C51" s="7" t="s">
        <v>24</v>
      </c>
      <c r="D51" s="7">
        <v>2</v>
      </c>
      <c r="E51" s="7">
        <v>1</v>
      </c>
      <c r="F51" s="13">
        <f>ROUND((I43/2)/0.175+1,0)</f>
        <v>10</v>
      </c>
      <c r="G51" s="10">
        <f t="shared" si="1"/>
        <v>2.06</v>
      </c>
      <c r="H51" s="16">
        <f>0.3-0.025-0.025</f>
        <v>0.24999999999999997</v>
      </c>
      <c r="I51" s="16">
        <f t="shared" si="15"/>
        <v>0.7</v>
      </c>
      <c r="J51" s="16">
        <f>0.3-0.025-0.025</f>
        <v>0.24999999999999997</v>
      </c>
      <c r="K51" s="16">
        <f t="shared" si="16"/>
        <v>0.7</v>
      </c>
      <c r="L51" s="10">
        <v>0.08</v>
      </c>
      <c r="M51" s="10">
        <v>0.08</v>
      </c>
      <c r="N51" s="17"/>
      <c r="O51" s="10" t="str">
        <f t="shared" si="3"/>
        <v xml:space="preserve"> </v>
      </c>
      <c r="P51" s="10" t="str">
        <f t="shared" si="3"/>
        <v xml:space="preserve"> </v>
      </c>
      <c r="Q51" s="10" t="str">
        <f t="shared" si="3"/>
        <v xml:space="preserve"> </v>
      </c>
      <c r="R51" s="10" t="str">
        <f t="shared" si="3"/>
        <v xml:space="preserve"> </v>
      </c>
      <c r="S51" s="10" t="str">
        <f t="shared" si="3"/>
        <v xml:space="preserve"> </v>
      </c>
      <c r="T51" s="10">
        <f t="shared" si="3"/>
        <v>41.2</v>
      </c>
    </row>
    <row r="52" spans="1:20" x14ac:dyDescent="0.35">
      <c r="A52" s="11">
        <v>47</v>
      </c>
      <c r="B52" s="15" t="s">
        <v>33</v>
      </c>
      <c r="C52" s="7" t="s">
        <v>23</v>
      </c>
      <c r="D52" s="7">
        <v>2</v>
      </c>
      <c r="E52" s="7">
        <v>1</v>
      </c>
      <c r="F52" s="13">
        <v>2</v>
      </c>
      <c r="G52" s="10">
        <f t="shared" si="1"/>
        <v>4.4000000000000004</v>
      </c>
      <c r="H52" s="16">
        <f t="shared" ref="H52:J52" si="18">0.75-0.025-0.025</f>
        <v>0.7</v>
      </c>
      <c r="I52" s="16">
        <v>3</v>
      </c>
      <c r="J52" s="16">
        <f t="shared" si="18"/>
        <v>0.7</v>
      </c>
      <c r="K52" s="16"/>
      <c r="L52" s="10"/>
      <c r="M52" s="10"/>
      <c r="N52" s="17"/>
      <c r="O52" s="10" t="str">
        <f t="shared" si="3"/>
        <v xml:space="preserve"> </v>
      </c>
      <c r="P52" s="10" t="str">
        <f t="shared" si="3"/>
        <v xml:space="preserve"> </v>
      </c>
      <c r="Q52" s="10" t="str">
        <f t="shared" si="3"/>
        <v xml:space="preserve"> </v>
      </c>
      <c r="R52" s="10" t="str">
        <f t="shared" si="3"/>
        <v xml:space="preserve"> </v>
      </c>
      <c r="S52" s="10">
        <f t="shared" si="3"/>
        <v>17.600000000000001</v>
      </c>
      <c r="T52" s="10" t="str">
        <f t="shared" si="3"/>
        <v xml:space="preserve"> </v>
      </c>
    </row>
    <row r="53" spans="1:20" x14ac:dyDescent="0.35">
      <c r="A53" s="11">
        <v>48</v>
      </c>
      <c r="B53" s="12" t="s">
        <v>43</v>
      </c>
      <c r="C53" s="7"/>
      <c r="D53" s="7"/>
      <c r="E53" s="7"/>
      <c r="F53" s="13"/>
      <c r="G53" s="10"/>
      <c r="H53" s="16"/>
      <c r="I53" s="16"/>
      <c r="J53" s="16"/>
      <c r="K53" s="16"/>
      <c r="L53" s="10"/>
      <c r="M53" s="10"/>
      <c r="N53" s="17"/>
      <c r="O53" s="10" t="str">
        <f t="shared" si="3"/>
        <v xml:space="preserve"> </v>
      </c>
      <c r="P53" s="10" t="str">
        <f t="shared" si="3"/>
        <v xml:space="preserve"> </v>
      </c>
      <c r="Q53" s="10" t="str">
        <f t="shared" si="3"/>
        <v xml:space="preserve"> </v>
      </c>
      <c r="R53" s="10" t="str">
        <f t="shared" si="3"/>
        <v xml:space="preserve"> </v>
      </c>
      <c r="S53" s="10" t="str">
        <f t="shared" si="3"/>
        <v xml:space="preserve"> </v>
      </c>
      <c r="T53" s="10" t="str">
        <f t="shared" si="3"/>
        <v xml:space="preserve"> </v>
      </c>
    </row>
    <row r="54" spans="1:20" x14ac:dyDescent="0.35">
      <c r="A54" s="11">
        <v>49</v>
      </c>
      <c r="B54" s="15" t="s">
        <v>28</v>
      </c>
      <c r="C54" s="7" t="s">
        <v>20</v>
      </c>
      <c r="D54" s="7">
        <v>2</v>
      </c>
      <c r="E54" s="7">
        <v>1</v>
      </c>
      <c r="F54" s="13">
        <v>2</v>
      </c>
      <c r="G54" s="10">
        <f t="shared" si="1"/>
        <v>4.9000000000000004</v>
      </c>
      <c r="H54" s="16">
        <f t="shared" ref="H54:J65" si="19">0.75-0.025-0.025</f>
        <v>0.7</v>
      </c>
      <c r="I54" s="16">
        <v>3.5</v>
      </c>
      <c r="J54" s="16">
        <f t="shared" si="19"/>
        <v>0.7</v>
      </c>
      <c r="K54" s="16"/>
      <c r="L54" s="10"/>
      <c r="M54" s="10"/>
      <c r="N54" s="17"/>
      <c r="O54" s="10" t="str">
        <f t="shared" si="3"/>
        <v xml:space="preserve"> </v>
      </c>
      <c r="P54" s="10">
        <f t="shared" si="3"/>
        <v>19.600000000000001</v>
      </c>
      <c r="Q54" s="10" t="str">
        <f t="shared" si="3"/>
        <v xml:space="preserve"> </v>
      </c>
      <c r="R54" s="10" t="str">
        <f t="shared" si="3"/>
        <v xml:space="preserve"> </v>
      </c>
      <c r="S54" s="10" t="str">
        <f t="shared" si="3"/>
        <v xml:space="preserve"> </v>
      </c>
      <c r="T54" s="10" t="str">
        <f t="shared" si="3"/>
        <v xml:space="preserve"> </v>
      </c>
    </row>
    <row r="55" spans="1:20" x14ac:dyDescent="0.35">
      <c r="A55" s="11">
        <v>50</v>
      </c>
      <c r="B55" s="15" t="s">
        <v>28</v>
      </c>
      <c r="C55" s="7" t="s">
        <v>21</v>
      </c>
      <c r="D55" s="7">
        <v>2</v>
      </c>
      <c r="E55" s="7">
        <v>1</v>
      </c>
      <c r="F55" s="13">
        <v>1</v>
      </c>
      <c r="G55" s="10">
        <f t="shared" si="1"/>
        <v>4.9000000000000004</v>
      </c>
      <c r="H55" s="16">
        <f t="shared" si="19"/>
        <v>0.7</v>
      </c>
      <c r="I55" s="16">
        <v>3.5</v>
      </c>
      <c r="J55" s="16">
        <f t="shared" si="19"/>
        <v>0.7</v>
      </c>
      <c r="K55" s="16"/>
      <c r="L55" s="10"/>
      <c r="M55" s="10"/>
      <c r="N55" s="17"/>
      <c r="O55" s="10" t="str">
        <f t="shared" si="3"/>
        <v xml:space="preserve"> </v>
      </c>
      <c r="P55" s="10" t="str">
        <f t="shared" si="3"/>
        <v xml:space="preserve"> </v>
      </c>
      <c r="Q55" s="10">
        <f t="shared" si="3"/>
        <v>9.8000000000000007</v>
      </c>
      <c r="R55" s="10" t="str">
        <f t="shared" si="3"/>
        <v xml:space="preserve"> </v>
      </c>
      <c r="S55" s="10" t="str">
        <f t="shared" si="3"/>
        <v xml:space="preserve"> </v>
      </c>
      <c r="T55" s="10" t="str">
        <f t="shared" si="3"/>
        <v xml:space="preserve"> </v>
      </c>
    </row>
    <row r="56" spans="1:20" x14ac:dyDescent="0.35">
      <c r="A56" s="11">
        <v>51</v>
      </c>
      <c r="B56" s="15" t="s">
        <v>29</v>
      </c>
      <c r="C56" s="7" t="s">
        <v>20</v>
      </c>
      <c r="D56" s="7">
        <v>2</v>
      </c>
      <c r="E56" s="7">
        <v>1</v>
      </c>
      <c r="F56" s="13">
        <v>2</v>
      </c>
      <c r="G56" s="10">
        <f t="shared" si="1"/>
        <v>4.9000000000000004</v>
      </c>
      <c r="H56" s="16">
        <f t="shared" si="19"/>
        <v>0.7</v>
      </c>
      <c r="I56" s="16">
        <v>3.5</v>
      </c>
      <c r="J56" s="16">
        <f t="shared" si="19"/>
        <v>0.7</v>
      </c>
      <c r="K56" s="16"/>
      <c r="L56" s="10"/>
      <c r="M56" s="10"/>
      <c r="N56" s="17"/>
      <c r="O56" s="10" t="str">
        <f t="shared" si="3"/>
        <v xml:space="preserve"> </v>
      </c>
      <c r="P56" s="10">
        <f t="shared" si="3"/>
        <v>19.600000000000001</v>
      </c>
      <c r="Q56" s="10" t="str">
        <f t="shared" si="3"/>
        <v xml:space="preserve"> </v>
      </c>
      <c r="R56" s="10" t="str">
        <f t="shared" si="3"/>
        <v xml:space="preserve"> </v>
      </c>
      <c r="S56" s="10" t="str">
        <f t="shared" si="3"/>
        <v xml:space="preserve"> </v>
      </c>
      <c r="T56" s="10" t="str">
        <f t="shared" si="3"/>
        <v xml:space="preserve"> </v>
      </c>
    </row>
    <row r="57" spans="1:20" x14ac:dyDescent="0.35">
      <c r="A57" s="11">
        <v>52</v>
      </c>
      <c r="B57" s="15" t="s">
        <v>29</v>
      </c>
      <c r="C57" s="7" t="s">
        <v>21</v>
      </c>
      <c r="D57" s="7">
        <v>2</v>
      </c>
      <c r="E57" s="7">
        <v>1</v>
      </c>
      <c r="F57" s="13">
        <v>1</v>
      </c>
      <c r="G57" s="10">
        <f t="shared" si="1"/>
        <v>4.9000000000000004</v>
      </c>
      <c r="H57" s="16">
        <f>0.75-0.025-0.025</f>
        <v>0.7</v>
      </c>
      <c r="I57" s="16">
        <v>3.5</v>
      </c>
      <c r="J57" s="16">
        <f>0.75-0.025-0.025</f>
        <v>0.7</v>
      </c>
      <c r="K57" s="16"/>
      <c r="L57" s="10"/>
      <c r="M57" s="10"/>
      <c r="N57" s="17"/>
      <c r="O57" s="10" t="str">
        <f t="shared" si="3"/>
        <v xml:space="preserve"> </v>
      </c>
      <c r="P57" s="10" t="str">
        <f t="shared" si="3"/>
        <v xml:space="preserve"> </v>
      </c>
      <c r="Q57" s="10">
        <f t="shared" si="3"/>
        <v>9.8000000000000007</v>
      </c>
      <c r="R57" s="10" t="str">
        <f t="shared" si="3"/>
        <v xml:space="preserve"> </v>
      </c>
      <c r="S57" s="10" t="str">
        <f t="shared" si="3"/>
        <v xml:space="preserve"> </v>
      </c>
      <c r="T57" s="10" t="str">
        <f t="shared" si="3"/>
        <v xml:space="preserve"> </v>
      </c>
    </row>
    <row r="58" spans="1:20" x14ac:dyDescent="0.35">
      <c r="A58" s="11">
        <v>53</v>
      </c>
      <c r="B58" s="15" t="s">
        <v>37</v>
      </c>
      <c r="C58" s="7" t="s">
        <v>20</v>
      </c>
      <c r="D58" s="7">
        <v>2</v>
      </c>
      <c r="E58" s="7">
        <v>1</v>
      </c>
      <c r="F58" s="13">
        <v>1</v>
      </c>
      <c r="G58" s="10">
        <f t="shared" si="1"/>
        <v>2.2749999999999999</v>
      </c>
      <c r="H58" s="16">
        <f>0.75-0.025-0.025</f>
        <v>0.7</v>
      </c>
      <c r="I58" s="16">
        <f>I54/4</f>
        <v>0.875</v>
      </c>
      <c r="J58" s="16">
        <f>0.75-0.025-0.025</f>
        <v>0.7</v>
      </c>
      <c r="K58" s="16"/>
      <c r="L58" s="10"/>
      <c r="M58" s="10"/>
      <c r="N58" s="17"/>
      <c r="O58" s="10" t="str">
        <f t="shared" si="3"/>
        <v xml:space="preserve"> </v>
      </c>
      <c r="P58" s="10">
        <f t="shared" si="3"/>
        <v>4.55</v>
      </c>
      <c r="Q58" s="10" t="str">
        <f t="shared" si="3"/>
        <v xml:space="preserve"> </v>
      </c>
      <c r="R58" s="10" t="str">
        <f t="shared" si="3"/>
        <v xml:space="preserve"> </v>
      </c>
      <c r="S58" s="10" t="str">
        <f t="shared" si="3"/>
        <v xml:space="preserve"> </v>
      </c>
      <c r="T58" s="10" t="str">
        <f t="shared" si="3"/>
        <v xml:space="preserve"> </v>
      </c>
    </row>
    <row r="59" spans="1:20" x14ac:dyDescent="0.35">
      <c r="A59" s="11">
        <v>54</v>
      </c>
      <c r="B59" s="15" t="s">
        <v>38</v>
      </c>
      <c r="C59" s="7" t="s">
        <v>21</v>
      </c>
      <c r="D59" s="7">
        <v>2</v>
      </c>
      <c r="E59" s="7">
        <v>1</v>
      </c>
      <c r="F59" s="13">
        <v>2</v>
      </c>
      <c r="G59" s="10">
        <f t="shared" si="1"/>
        <v>2.2749999999999999</v>
      </c>
      <c r="H59" s="16">
        <f t="shared" si="19"/>
        <v>0.7</v>
      </c>
      <c r="I59" s="16">
        <f>I54/4</f>
        <v>0.875</v>
      </c>
      <c r="J59" s="16">
        <f t="shared" si="19"/>
        <v>0.7</v>
      </c>
      <c r="L59" s="10"/>
      <c r="M59" s="10"/>
      <c r="N59" s="17"/>
      <c r="O59" s="10" t="str">
        <f t="shared" si="3"/>
        <v xml:space="preserve"> </v>
      </c>
      <c r="P59" s="10" t="str">
        <f t="shared" si="3"/>
        <v xml:space="preserve"> </v>
      </c>
      <c r="Q59" s="10">
        <f t="shared" si="3"/>
        <v>9.1</v>
      </c>
      <c r="R59" s="10" t="str">
        <f t="shared" si="3"/>
        <v xml:space="preserve"> </v>
      </c>
      <c r="S59" s="10" t="str">
        <f t="shared" si="3"/>
        <v xml:space="preserve"> </v>
      </c>
      <c r="T59" s="10" t="str">
        <f t="shared" si="3"/>
        <v xml:space="preserve"> </v>
      </c>
    </row>
    <row r="60" spans="1:20" x14ac:dyDescent="0.35">
      <c r="A60" s="11">
        <v>55</v>
      </c>
      <c r="B60" s="15" t="s">
        <v>39</v>
      </c>
      <c r="C60" s="7" t="s">
        <v>20</v>
      </c>
      <c r="D60" s="7">
        <v>2</v>
      </c>
      <c r="E60" s="7">
        <v>1</v>
      </c>
      <c r="F60" s="13">
        <v>1</v>
      </c>
      <c r="G60" s="10">
        <f t="shared" si="1"/>
        <v>2.2749999999999999</v>
      </c>
      <c r="H60" s="16">
        <f t="shared" si="19"/>
        <v>0.7</v>
      </c>
      <c r="I60" s="16">
        <f>I54/4</f>
        <v>0.875</v>
      </c>
      <c r="J60" s="16">
        <f t="shared" si="19"/>
        <v>0.7</v>
      </c>
      <c r="K60" s="16"/>
      <c r="L60" s="10"/>
      <c r="M60" s="10"/>
      <c r="N60" s="17"/>
      <c r="O60" s="10" t="str">
        <f t="shared" si="3"/>
        <v xml:space="preserve"> </v>
      </c>
      <c r="P60" s="10">
        <f t="shared" si="3"/>
        <v>4.55</v>
      </c>
      <c r="Q60" s="10" t="str">
        <f t="shared" si="3"/>
        <v xml:space="preserve"> </v>
      </c>
      <c r="R60" s="10" t="str">
        <f t="shared" si="3"/>
        <v xml:space="preserve"> </v>
      </c>
      <c r="S60" s="10" t="str">
        <f t="shared" si="3"/>
        <v xml:space="preserve"> </v>
      </c>
      <c r="T60" s="10" t="str">
        <f t="shared" si="3"/>
        <v xml:space="preserve"> </v>
      </c>
    </row>
    <row r="61" spans="1:20" x14ac:dyDescent="0.35">
      <c r="A61" s="11">
        <v>56</v>
      </c>
      <c r="B61" s="15" t="s">
        <v>40</v>
      </c>
      <c r="C61" s="7" t="s">
        <v>21</v>
      </c>
      <c r="D61" s="7">
        <v>2</v>
      </c>
      <c r="E61" s="7">
        <v>1</v>
      </c>
      <c r="F61" s="13">
        <v>2</v>
      </c>
      <c r="G61" s="10">
        <f t="shared" si="1"/>
        <v>2.2749999999999999</v>
      </c>
      <c r="H61" s="16">
        <f t="shared" si="19"/>
        <v>0.7</v>
      </c>
      <c r="I61" s="16">
        <f>I54/4</f>
        <v>0.875</v>
      </c>
      <c r="J61" s="16">
        <f t="shared" si="19"/>
        <v>0.7</v>
      </c>
      <c r="K61" s="16"/>
      <c r="L61" s="10"/>
      <c r="M61" s="10"/>
      <c r="N61" s="17"/>
      <c r="O61" s="10" t="str">
        <f t="shared" si="3"/>
        <v xml:space="preserve"> </v>
      </c>
      <c r="P61" s="10" t="str">
        <f t="shared" si="3"/>
        <v xml:space="preserve"> </v>
      </c>
      <c r="Q61" s="10">
        <f t="shared" si="3"/>
        <v>9.1</v>
      </c>
      <c r="R61" s="10" t="str">
        <f t="shared" si="3"/>
        <v xml:space="preserve"> </v>
      </c>
      <c r="S61" s="10" t="str">
        <f t="shared" si="3"/>
        <v xml:space="preserve"> </v>
      </c>
      <c r="T61" s="10" t="str">
        <f t="shared" si="3"/>
        <v xml:space="preserve"> </v>
      </c>
    </row>
    <row r="62" spans="1:20" x14ac:dyDescent="0.35">
      <c r="A62" s="11">
        <v>57</v>
      </c>
      <c r="B62" s="15" t="s">
        <v>30</v>
      </c>
      <c r="C62" s="7" t="s">
        <v>24</v>
      </c>
      <c r="D62" s="7">
        <v>2</v>
      </c>
      <c r="E62" s="7">
        <v>1</v>
      </c>
      <c r="F62" s="13">
        <f>ROUND((I54/4)/0.1+1,0)</f>
        <v>10</v>
      </c>
      <c r="G62" s="10">
        <f t="shared" si="1"/>
        <v>2.06</v>
      </c>
      <c r="H62" s="16">
        <f>0.3-0.025-0.025</f>
        <v>0.24999999999999997</v>
      </c>
      <c r="I62" s="16">
        <f t="shared" ref="I62:I64" si="20">0.75-0.025-0.025</f>
        <v>0.7</v>
      </c>
      <c r="J62" s="16">
        <f>0.3-0.025-0.025</f>
        <v>0.24999999999999997</v>
      </c>
      <c r="K62" s="16">
        <f t="shared" ref="K62:K64" si="21">0.75-0.025-0.025</f>
        <v>0.7</v>
      </c>
      <c r="L62" s="10">
        <v>0.08</v>
      </c>
      <c r="M62" s="10">
        <v>0.08</v>
      </c>
      <c r="N62" s="17"/>
      <c r="O62" s="10" t="str">
        <f t="shared" si="3"/>
        <v xml:space="preserve"> </v>
      </c>
      <c r="P62" s="10" t="str">
        <f t="shared" si="3"/>
        <v xml:space="preserve"> </v>
      </c>
      <c r="Q62" s="10" t="str">
        <f t="shared" si="3"/>
        <v xml:space="preserve"> </v>
      </c>
      <c r="R62" s="10" t="str">
        <f t="shared" si="3"/>
        <v xml:space="preserve"> </v>
      </c>
      <c r="S62" s="10" t="str">
        <f t="shared" si="3"/>
        <v xml:space="preserve"> </v>
      </c>
      <c r="T62" s="10">
        <f t="shared" si="3"/>
        <v>41.2</v>
      </c>
    </row>
    <row r="63" spans="1:20" x14ac:dyDescent="0.35">
      <c r="A63" s="11">
        <v>58</v>
      </c>
      <c r="B63" s="15" t="s">
        <v>31</v>
      </c>
      <c r="C63" s="7" t="s">
        <v>24</v>
      </c>
      <c r="D63" s="7">
        <v>2</v>
      </c>
      <c r="E63" s="7">
        <v>1</v>
      </c>
      <c r="F63" s="13">
        <f t="shared" ref="F63" si="22">ROUND((I55/4)/0.1+1,0)</f>
        <v>10</v>
      </c>
      <c r="G63" s="10">
        <f t="shared" si="1"/>
        <v>2.06</v>
      </c>
      <c r="H63" s="16">
        <f>0.3-0.025-0.025</f>
        <v>0.24999999999999997</v>
      </c>
      <c r="I63" s="16">
        <f t="shared" si="20"/>
        <v>0.7</v>
      </c>
      <c r="J63" s="16">
        <f>0.3-0.025-0.025</f>
        <v>0.24999999999999997</v>
      </c>
      <c r="K63" s="16">
        <f t="shared" si="21"/>
        <v>0.7</v>
      </c>
      <c r="L63" s="10">
        <v>0.08</v>
      </c>
      <c r="M63" s="10">
        <v>0.08</v>
      </c>
      <c r="N63" s="17"/>
      <c r="O63" s="10" t="str">
        <f t="shared" ref="O63:T105" si="23">IF($C63=O$4,$D63*$E63*$F63*$G63," ")</f>
        <v xml:space="preserve"> </v>
      </c>
      <c r="P63" s="10" t="str">
        <f t="shared" si="23"/>
        <v xml:space="preserve"> </v>
      </c>
      <c r="Q63" s="10" t="str">
        <f t="shared" si="23"/>
        <v xml:space="preserve"> </v>
      </c>
      <c r="R63" s="10" t="str">
        <f t="shared" si="23"/>
        <v xml:space="preserve"> </v>
      </c>
      <c r="S63" s="10" t="str">
        <f t="shared" si="23"/>
        <v xml:space="preserve"> </v>
      </c>
      <c r="T63" s="10">
        <f t="shared" si="23"/>
        <v>41.2</v>
      </c>
    </row>
    <row r="64" spans="1:20" x14ac:dyDescent="0.35">
      <c r="A64" s="11">
        <v>59</v>
      </c>
      <c r="B64" s="15" t="s">
        <v>32</v>
      </c>
      <c r="C64" s="7" t="s">
        <v>24</v>
      </c>
      <c r="D64" s="7">
        <v>2</v>
      </c>
      <c r="E64" s="7">
        <v>1</v>
      </c>
      <c r="F64" s="13">
        <f>ROUND((I56/2)/0.175+1,0)</f>
        <v>11</v>
      </c>
      <c r="G64" s="10">
        <f t="shared" si="1"/>
        <v>2.06</v>
      </c>
      <c r="H64" s="16">
        <f>0.3-0.025-0.025</f>
        <v>0.24999999999999997</v>
      </c>
      <c r="I64" s="16">
        <f t="shared" si="20"/>
        <v>0.7</v>
      </c>
      <c r="J64" s="16">
        <f>0.3-0.025-0.025</f>
        <v>0.24999999999999997</v>
      </c>
      <c r="K64" s="16">
        <f t="shared" si="21"/>
        <v>0.7</v>
      </c>
      <c r="L64" s="10">
        <v>0.08</v>
      </c>
      <c r="M64" s="10">
        <v>0.08</v>
      </c>
      <c r="N64" s="17"/>
      <c r="O64" s="10" t="str">
        <f t="shared" si="23"/>
        <v xml:space="preserve"> </v>
      </c>
      <c r="P64" s="10" t="str">
        <f t="shared" si="23"/>
        <v xml:space="preserve"> </v>
      </c>
      <c r="Q64" s="10" t="str">
        <f t="shared" si="23"/>
        <v xml:space="preserve"> </v>
      </c>
      <c r="R64" s="10" t="str">
        <f t="shared" si="23"/>
        <v xml:space="preserve"> </v>
      </c>
      <c r="S64" s="10" t="str">
        <f t="shared" si="23"/>
        <v xml:space="preserve"> </v>
      </c>
      <c r="T64" s="10">
        <f t="shared" si="23"/>
        <v>45.32</v>
      </c>
    </row>
    <row r="65" spans="1:20" x14ac:dyDescent="0.35">
      <c r="A65" s="11">
        <v>60</v>
      </c>
      <c r="B65" s="15" t="s">
        <v>33</v>
      </c>
      <c r="C65" s="7" t="s">
        <v>23</v>
      </c>
      <c r="D65" s="7">
        <v>2</v>
      </c>
      <c r="E65" s="7">
        <v>1</v>
      </c>
      <c r="F65" s="13">
        <v>2</v>
      </c>
      <c r="G65" s="10">
        <f t="shared" si="1"/>
        <v>4.9000000000000004</v>
      </c>
      <c r="H65" s="16">
        <f t="shared" ref="H65" si="24">0.75-0.025-0.025</f>
        <v>0.7</v>
      </c>
      <c r="I65" s="16">
        <v>3.5</v>
      </c>
      <c r="J65" s="16">
        <f t="shared" si="19"/>
        <v>0.7</v>
      </c>
      <c r="K65" s="16"/>
      <c r="L65" s="10"/>
      <c r="M65" s="10"/>
      <c r="N65" s="17"/>
      <c r="O65" s="10" t="str">
        <f t="shared" si="23"/>
        <v xml:space="preserve"> </v>
      </c>
      <c r="P65" s="10" t="str">
        <f t="shared" si="23"/>
        <v xml:space="preserve"> </v>
      </c>
      <c r="Q65" s="10" t="str">
        <f t="shared" si="23"/>
        <v xml:space="preserve"> </v>
      </c>
      <c r="R65" s="10" t="str">
        <f t="shared" si="23"/>
        <v xml:space="preserve"> </v>
      </c>
      <c r="S65" s="10">
        <f t="shared" si="23"/>
        <v>19.600000000000001</v>
      </c>
      <c r="T65" s="10" t="str">
        <f t="shared" si="23"/>
        <v xml:space="preserve"> </v>
      </c>
    </row>
    <row r="66" spans="1:20" x14ac:dyDescent="0.35">
      <c r="A66" s="11">
        <v>61</v>
      </c>
      <c r="B66" s="12" t="s">
        <v>44</v>
      </c>
      <c r="C66" s="7"/>
      <c r="D66" s="7"/>
      <c r="E66" s="7"/>
      <c r="F66" s="13"/>
      <c r="G66" s="10"/>
      <c r="H66" s="16"/>
      <c r="I66" s="16"/>
      <c r="J66" s="16"/>
      <c r="K66" s="16"/>
      <c r="L66" s="10"/>
      <c r="M66" s="10"/>
      <c r="N66" s="17"/>
      <c r="O66" s="10" t="str">
        <f t="shared" si="23"/>
        <v xml:space="preserve"> </v>
      </c>
      <c r="P66" s="10" t="str">
        <f t="shared" si="23"/>
        <v xml:space="preserve"> </v>
      </c>
      <c r="Q66" s="10" t="str">
        <f t="shared" si="23"/>
        <v xml:space="preserve"> </v>
      </c>
      <c r="R66" s="10" t="str">
        <f t="shared" si="23"/>
        <v xml:space="preserve"> </v>
      </c>
      <c r="S66" s="10" t="str">
        <f t="shared" si="23"/>
        <v xml:space="preserve"> </v>
      </c>
      <c r="T66" s="10" t="str">
        <f t="shared" si="23"/>
        <v xml:space="preserve"> </v>
      </c>
    </row>
    <row r="67" spans="1:20" x14ac:dyDescent="0.35">
      <c r="A67" s="11">
        <v>62</v>
      </c>
      <c r="B67" s="15" t="s">
        <v>28</v>
      </c>
      <c r="C67" s="7" t="s">
        <v>20</v>
      </c>
      <c r="D67" s="7">
        <v>2</v>
      </c>
      <c r="E67" s="7">
        <v>1</v>
      </c>
      <c r="F67" s="13">
        <v>2</v>
      </c>
      <c r="G67" s="10">
        <f t="shared" si="1"/>
        <v>2.4</v>
      </c>
      <c r="H67" s="16">
        <f t="shared" ref="H67:J79" si="25">0.75-0.025-0.025</f>
        <v>0.7</v>
      </c>
      <c r="I67" s="16">
        <v>1</v>
      </c>
      <c r="J67" s="16">
        <f t="shared" si="25"/>
        <v>0.7</v>
      </c>
      <c r="K67" s="16"/>
      <c r="L67" s="10"/>
      <c r="M67" s="10"/>
      <c r="N67" s="17"/>
      <c r="O67" s="10" t="str">
        <f t="shared" si="23"/>
        <v xml:space="preserve"> </v>
      </c>
      <c r="P67" s="10">
        <f t="shared" si="23"/>
        <v>9.6</v>
      </c>
      <c r="Q67" s="10" t="str">
        <f t="shared" si="23"/>
        <v xml:space="preserve"> </v>
      </c>
      <c r="R67" s="10" t="str">
        <f t="shared" si="23"/>
        <v xml:space="preserve"> </v>
      </c>
      <c r="S67" s="10" t="str">
        <f t="shared" si="23"/>
        <v xml:space="preserve"> </v>
      </c>
      <c r="T67" s="10" t="str">
        <f t="shared" si="23"/>
        <v xml:space="preserve"> </v>
      </c>
    </row>
    <row r="68" spans="1:20" x14ac:dyDescent="0.35">
      <c r="A68" s="11">
        <v>63</v>
      </c>
      <c r="B68" s="15" t="s">
        <v>28</v>
      </c>
      <c r="C68" s="7" t="s">
        <v>21</v>
      </c>
      <c r="D68" s="7">
        <v>2</v>
      </c>
      <c r="E68" s="7">
        <v>1</v>
      </c>
      <c r="F68" s="13">
        <v>1</v>
      </c>
      <c r="G68" s="10">
        <f t="shared" si="1"/>
        <v>2.4</v>
      </c>
      <c r="H68" s="16">
        <f>0.75-0.025-0.025</f>
        <v>0.7</v>
      </c>
      <c r="I68" s="16">
        <v>1</v>
      </c>
      <c r="J68" s="16">
        <f>0.75-0.025-0.025</f>
        <v>0.7</v>
      </c>
      <c r="K68" s="16"/>
      <c r="L68" s="10"/>
      <c r="M68" s="10"/>
      <c r="N68" s="17"/>
      <c r="O68" s="10" t="str">
        <f t="shared" si="23"/>
        <v xml:space="preserve"> </v>
      </c>
      <c r="P68" s="10" t="str">
        <f t="shared" si="23"/>
        <v xml:space="preserve"> </v>
      </c>
      <c r="Q68" s="10">
        <f t="shared" si="23"/>
        <v>4.8</v>
      </c>
      <c r="R68" s="10" t="str">
        <f t="shared" si="23"/>
        <v xml:space="preserve"> </v>
      </c>
      <c r="S68" s="10" t="str">
        <f t="shared" si="23"/>
        <v xml:space="preserve"> </v>
      </c>
      <c r="T68" s="10" t="str">
        <f t="shared" si="23"/>
        <v xml:space="preserve"> </v>
      </c>
    </row>
    <row r="69" spans="1:20" x14ac:dyDescent="0.35">
      <c r="A69" s="11">
        <v>64</v>
      </c>
      <c r="B69" s="15" t="s">
        <v>29</v>
      </c>
      <c r="C69" s="7" t="s">
        <v>20</v>
      </c>
      <c r="D69" s="7">
        <v>2</v>
      </c>
      <c r="E69" s="7">
        <v>1</v>
      </c>
      <c r="F69" s="13">
        <v>2</v>
      </c>
      <c r="G69" s="10">
        <f t="shared" si="1"/>
        <v>2.4</v>
      </c>
      <c r="H69" s="16">
        <f>0.75-0.025-0.025</f>
        <v>0.7</v>
      </c>
      <c r="I69" s="16">
        <v>1</v>
      </c>
      <c r="J69" s="16">
        <f>0.75-0.025-0.025</f>
        <v>0.7</v>
      </c>
      <c r="K69" s="16"/>
      <c r="L69" s="10"/>
      <c r="M69" s="10"/>
      <c r="N69" s="17"/>
      <c r="O69" s="10" t="str">
        <f t="shared" si="23"/>
        <v xml:space="preserve"> </v>
      </c>
      <c r="P69" s="10">
        <f t="shared" si="23"/>
        <v>9.6</v>
      </c>
      <c r="Q69" s="10" t="str">
        <f t="shared" si="23"/>
        <v xml:space="preserve"> </v>
      </c>
      <c r="R69" s="10" t="str">
        <f t="shared" si="23"/>
        <v xml:space="preserve"> </v>
      </c>
      <c r="S69" s="10" t="str">
        <f t="shared" si="23"/>
        <v xml:space="preserve"> </v>
      </c>
      <c r="T69" s="10" t="str">
        <f t="shared" si="23"/>
        <v xml:space="preserve"> </v>
      </c>
    </row>
    <row r="70" spans="1:20" x14ac:dyDescent="0.35">
      <c r="A70" s="11">
        <v>65</v>
      </c>
      <c r="B70" s="15" t="s">
        <v>29</v>
      </c>
      <c r="C70" s="7" t="s">
        <v>21</v>
      </c>
      <c r="D70" s="7">
        <v>2</v>
      </c>
      <c r="E70" s="7">
        <v>1</v>
      </c>
      <c r="F70" s="13">
        <v>1</v>
      </c>
      <c r="G70" s="10">
        <f t="shared" si="1"/>
        <v>2.4</v>
      </c>
      <c r="H70" s="16">
        <f t="shared" si="25"/>
        <v>0.7</v>
      </c>
      <c r="I70" s="16">
        <v>1</v>
      </c>
      <c r="J70" s="16">
        <f t="shared" si="25"/>
        <v>0.7</v>
      </c>
      <c r="K70" s="16"/>
      <c r="L70" s="10"/>
      <c r="M70" s="10"/>
      <c r="N70" s="17"/>
      <c r="O70" s="10" t="str">
        <f t="shared" si="23"/>
        <v xml:space="preserve"> </v>
      </c>
      <c r="P70" s="10" t="str">
        <f t="shared" si="23"/>
        <v xml:space="preserve"> </v>
      </c>
      <c r="Q70" s="10">
        <f t="shared" si="23"/>
        <v>4.8</v>
      </c>
      <c r="R70" s="10" t="str">
        <f t="shared" si="23"/>
        <v xml:space="preserve"> </v>
      </c>
      <c r="S70" s="10" t="str">
        <f t="shared" si="23"/>
        <v xml:space="preserve"> </v>
      </c>
      <c r="T70" s="10" t="str">
        <f t="shared" si="23"/>
        <v xml:space="preserve"> </v>
      </c>
    </row>
    <row r="71" spans="1:20" x14ac:dyDescent="0.35">
      <c r="A71" s="11">
        <v>66</v>
      </c>
      <c r="B71" s="15" t="s">
        <v>37</v>
      </c>
      <c r="C71" s="7" t="s">
        <v>20</v>
      </c>
      <c r="D71" s="7">
        <v>2</v>
      </c>
      <c r="E71" s="7">
        <v>1</v>
      </c>
      <c r="F71" s="13">
        <v>1</v>
      </c>
      <c r="G71" s="10">
        <f t="shared" si="1"/>
        <v>1.65</v>
      </c>
      <c r="H71" s="16">
        <f t="shared" si="25"/>
        <v>0.7</v>
      </c>
      <c r="I71" s="16">
        <f>I67/4</f>
        <v>0.25</v>
      </c>
      <c r="J71" s="16">
        <f t="shared" si="25"/>
        <v>0.7</v>
      </c>
      <c r="K71" s="16"/>
      <c r="L71" s="10"/>
      <c r="M71" s="10"/>
      <c r="N71" s="17"/>
      <c r="O71" s="10" t="str">
        <f t="shared" si="23"/>
        <v xml:space="preserve"> </v>
      </c>
      <c r="P71" s="10">
        <f t="shared" si="23"/>
        <v>3.3</v>
      </c>
      <c r="Q71" s="10" t="str">
        <f t="shared" si="23"/>
        <v xml:space="preserve"> </v>
      </c>
      <c r="R71" s="10" t="str">
        <f t="shared" si="23"/>
        <v xml:space="preserve"> </v>
      </c>
      <c r="S71" s="10" t="str">
        <f t="shared" si="23"/>
        <v xml:space="preserve"> </v>
      </c>
      <c r="T71" s="10" t="str">
        <f t="shared" si="23"/>
        <v xml:space="preserve"> </v>
      </c>
    </row>
    <row r="72" spans="1:20" x14ac:dyDescent="0.35">
      <c r="A72" s="11">
        <v>67</v>
      </c>
      <c r="B72" s="15" t="s">
        <v>38</v>
      </c>
      <c r="C72" s="7" t="s">
        <v>21</v>
      </c>
      <c r="D72" s="7">
        <v>2</v>
      </c>
      <c r="E72" s="7">
        <v>1</v>
      </c>
      <c r="F72" s="13">
        <v>2</v>
      </c>
      <c r="G72" s="10">
        <f t="shared" ref="G72:G135" si="26">SUM(H72:N72)</f>
        <v>1.65</v>
      </c>
      <c r="H72" s="16">
        <f t="shared" si="25"/>
        <v>0.7</v>
      </c>
      <c r="I72" s="16">
        <f>I67/4</f>
        <v>0.25</v>
      </c>
      <c r="J72" s="16">
        <f t="shared" si="25"/>
        <v>0.7</v>
      </c>
      <c r="K72" s="16"/>
      <c r="L72" s="10"/>
      <c r="M72" s="10"/>
      <c r="N72" s="17"/>
      <c r="O72" s="10" t="str">
        <f t="shared" si="23"/>
        <v xml:space="preserve"> </v>
      </c>
      <c r="P72" s="10" t="str">
        <f t="shared" si="23"/>
        <v xml:space="preserve"> </v>
      </c>
      <c r="Q72" s="10">
        <f t="shared" si="23"/>
        <v>6.6</v>
      </c>
      <c r="R72" s="10" t="str">
        <f t="shared" si="23"/>
        <v xml:space="preserve"> </v>
      </c>
      <c r="S72" s="10" t="str">
        <f t="shared" si="23"/>
        <v xml:space="preserve"> </v>
      </c>
      <c r="T72" s="10" t="str">
        <f t="shared" si="23"/>
        <v xml:space="preserve"> </v>
      </c>
    </row>
    <row r="73" spans="1:20" x14ac:dyDescent="0.35">
      <c r="A73" s="11">
        <v>68</v>
      </c>
      <c r="B73" s="15" t="s">
        <v>30</v>
      </c>
      <c r="C73" s="7" t="s">
        <v>24</v>
      </c>
      <c r="D73" s="7">
        <v>2</v>
      </c>
      <c r="E73" s="7">
        <v>1</v>
      </c>
      <c r="F73" s="13">
        <f>ROUND((I67/4)/0.1+1,0)</f>
        <v>4</v>
      </c>
      <c r="G73" s="10">
        <f t="shared" si="26"/>
        <v>2.06</v>
      </c>
      <c r="H73" s="16">
        <f>0.3-0.025-0.025</f>
        <v>0.24999999999999997</v>
      </c>
      <c r="I73" s="16">
        <f t="shared" ref="I73:I75" si="27">0.75-0.025-0.025</f>
        <v>0.7</v>
      </c>
      <c r="J73" s="16">
        <f>0.3-0.025-0.025</f>
        <v>0.24999999999999997</v>
      </c>
      <c r="K73" s="16">
        <f t="shared" ref="K73:K75" si="28">0.75-0.025-0.025</f>
        <v>0.7</v>
      </c>
      <c r="L73" s="10">
        <v>0.08</v>
      </c>
      <c r="M73" s="10">
        <v>0.08</v>
      </c>
      <c r="N73" s="17"/>
      <c r="O73" s="10" t="str">
        <f t="shared" si="23"/>
        <v xml:space="preserve"> </v>
      </c>
      <c r="P73" s="10" t="str">
        <f t="shared" si="23"/>
        <v xml:space="preserve"> </v>
      </c>
      <c r="Q73" s="10" t="str">
        <f t="shared" si="23"/>
        <v xml:space="preserve"> </v>
      </c>
      <c r="R73" s="10" t="str">
        <f t="shared" si="23"/>
        <v xml:space="preserve"> </v>
      </c>
      <c r="S73" s="10" t="str">
        <f t="shared" si="23"/>
        <v xml:space="preserve"> </v>
      </c>
      <c r="T73" s="10">
        <f t="shared" si="23"/>
        <v>16.48</v>
      </c>
    </row>
    <row r="74" spans="1:20" x14ac:dyDescent="0.35">
      <c r="A74" s="11">
        <v>69</v>
      </c>
      <c r="B74" s="15" t="s">
        <v>31</v>
      </c>
      <c r="C74" s="7" t="s">
        <v>24</v>
      </c>
      <c r="D74" s="7">
        <v>2</v>
      </c>
      <c r="E74" s="7">
        <v>1</v>
      </c>
      <c r="F74" s="13">
        <f t="shared" ref="F74" si="29">ROUND((I68/4)/0.1+1,0)</f>
        <v>4</v>
      </c>
      <c r="G74" s="10">
        <f t="shared" si="26"/>
        <v>2.06</v>
      </c>
      <c r="H74" s="16">
        <f t="shared" ref="H74:J75" si="30">0.3-0.025-0.025</f>
        <v>0.24999999999999997</v>
      </c>
      <c r="I74" s="16">
        <f t="shared" si="27"/>
        <v>0.7</v>
      </c>
      <c r="J74" s="16">
        <f t="shared" si="30"/>
        <v>0.24999999999999997</v>
      </c>
      <c r="K74" s="16">
        <f t="shared" si="28"/>
        <v>0.7</v>
      </c>
      <c r="L74" s="10">
        <v>0.08</v>
      </c>
      <c r="M74" s="10">
        <v>0.08</v>
      </c>
      <c r="N74" s="17"/>
      <c r="O74" s="10" t="str">
        <f t="shared" si="23"/>
        <v xml:space="preserve"> </v>
      </c>
      <c r="P74" s="10" t="str">
        <f t="shared" si="23"/>
        <v xml:space="preserve"> </v>
      </c>
      <c r="Q74" s="10" t="str">
        <f t="shared" si="23"/>
        <v xml:space="preserve"> </v>
      </c>
      <c r="R74" s="10" t="str">
        <f t="shared" si="23"/>
        <v xml:space="preserve"> </v>
      </c>
      <c r="S74" s="10" t="str">
        <f t="shared" si="23"/>
        <v xml:space="preserve"> </v>
      </c>
      <c r="T74" s="10">
        <f t="shared" si="23"/>
        <v>16.48</v>
      </c>
    </row>
    <row r="75" spans="1:20" x14ac:dyDescent="0.35">
      <c r="A75" s="11">
        <v>70</v>
      </c>
      <c r="B75" s="15" t="s">
        <v>32</v>
      </c>
      <c r="C75" s="7" t="s">
        <v>24</v>
      </c>
      <c r="D75" s="7">
        <v>2</v>
      </c>
      <c r="E75" s="7">
        <v>1</v>
      </c>
      <c r="F75" s="13">
        <f>ROUND((I69/2)/0.1+1,0)</f>
        <v>6</v>
      </c>
      <c r="G75" s="10">
        <f t="shared" si="26"/>
        <v>2.06</v>
      </c>
      <c r="H75" s="16">
        <f t="shared" si="30"/>
        <v>0.24999999999999997</v>
      </c>
      <c r="I75" s="16">
        <f t="shared" si="27"/>
        <v>0.7</v>
      </c>
      <c r="J75" s="16">
        <f t="shared" si="30"/>
        <v>0.24999999999999997</v>
      </c>
      <c r="K75" s="16">
        <f t="shared" si="28"/>
        <v>0.7</v>
      </c>
      <c r="L75" s="10">
        <v>0.08</v>
      </c>
      <c r="M75" s="10">
        <v>0.08</v>
      </c>
      <c r="N75" s="17"/>
      <c r="O75" s="10" t="str">
        <f t="shared" si="23"/>
        <v xml:space="preserve"> </v>
      </c>
      <c r="P75" s="10" t="str">
        <f t="shared" si="23"/>
        <v xml:space="preserve"> </v>
      </c>
      <c r="Q75" s="10" t="str">
        <f t="shared" si="23"/>
        <v xml:space="preserve"> </v>
      </c>
      <c r="R75" s="10" t="str">
        <f t="shared" si="23"/>
        <v xml:space="preserve"> </v>
      </c>
      <c r="S75" s="10" t="str">
        <f t="shared" si="23"/>
        <v xml:space="preserve"> </v>
      </c>
      <c r="T75" s="10">
        <f t="shared" si="23"/>
        <v>24.72</v>
      </c>
    </row>
    <row r="76" spans="1:20" x14ac:dyDescent="0.35">
      <c r="A76" s="11">
        <v>71</v>
      </c>
      <c r="B76" s="15" t="s">
        <v>33</v>
      </c>
      <c r="C76" s="7" t="s">
        <v>23</v>
      </c>
      <c r="D76" s="7">
        <v>2</v>
      </c>
      <c r="E76" s="7">
        <v>1</v>
      </c>
      <c r="F76" s="13">
        <v>2</v>
      </c>
      <c r="G76" s="10">
        <f t="shared" si="26"/>
        <v>2.4</v>
      </c>
      <c r="H76" s="16">
        <f t="shared" ref="H76:J76" si="31">0.75-0.025-0.025</f>
        <v>0.7</v>
      </c>
      <c r="I76" s="16">
        <v>1</v>
      </c>
      <c r="J76" s="16">
        <f t="shared" si="31"/>
        <v>0.7</v>
      </c>
      <c r="K76" s="16"/>
      <c r="L76" s="10"/>
      <c r="M76" s="10"/>
      <c r="N76" s="17"/>
      <c r="O76" s="10" t="str">
        <f t="shared" si="23"/>
        <v xml:space="preserve"> </v>
      </c>
      <c r="P76" s="10" t="str">
        <f t="shared" si="23"/>
        <v xml:space="preserve"> </v>
      </c>
      <c r="Q76" s="10" t="str">
        <f t="shared" si="23"/>
        <v xml:space="preserve"> </v>
      </c>
      <c r="R76" s="10" t="str">
        <f t="shared" si="23"/>
        <v xml:space="preserve"> </v>
      </c>
      <c r="S76" s="10">
        <f t="shared" si="23"/>
        <v>9.6</v>
      </c>
      <c r="T76" s="10" t="str">
        <f t="shared" si="23"/>
        <v xml:space="preserve"> </v>
      </c>
    </row>
    <row r="77" spans="1:20" x14ac:dyDescent="0.35">
      <c r="A77" s="11">
        <v>72</v>
      </c>
      <c r="B77" s="12" t="s">
        <v>45</v>
      </c>
      <c r="C77" s="7"/>
      <c r="D77" s="7"/>
      <c r="E77" s="7"/>
      <c r="F77" s="13"/>
      <c r="G77" s="10"/>
      <c r="H77" s="16"/>
      <c r="I77" s="16"/>
      <c r="J77" s="16"/>
      <c r="K77" s="16"/>
      <c r="L77" s="10"/>
      <c r="M77" s="10"/>
      <c r="N77" s="17"/>
      <c r="O77" s="10" t="str">
        <f t="shared" si="23"/>
        <v xml:space="preserve"> </v>
      </c>
      <c r="P77" s="10" t="str">
        <f t="shared" si="23"/>
        <v xml:space="preserve"> </v>
      </c>
      <c r="Q77" s="10" t="str">
        <f t="shared" si="23"/>
        <v xml:space="preserve"> </v>
      </c>
      <c r="R77" s="10" t="str">
        <f t="shared" si="23"/>
        <v xml:space="preserve"> </v>
      </c>
      <c r="S77" s="10" t="str">
        <f t="shared" si="23"/>
        <v xml:space="preserve"> </v>
      </c>
      <c r="T77" s="10" t="str">
        <f t="shared" si="23"/>
        <v xml:space="preserve"> </v>
      </c>
    </row>
    <row r="78" spans="1:20" x14ac:dyDescent="0.35">
      <c r="A78" s="11">
        <v>73</v>
      </c>
      <c r="B78" s="15" t="s">
        <v>28</v>
      </c>
      <c r="C78" s="7" t="s">
        <v>21</v>
      </c>
      <c r="D78" s="7">
        <v>1</v>
      </c>
      <c r="E78" s="7">
        <v>1</v>
      </c>
      <c r="F78" s="13">
        <v>3</v>
      </c>
      <c r="G78" s="10">
        <f t="shared" si="26"/>
        <v>4.4000000000000004</v>
      </c>
      <c r="H78" s="16">
        <f t="shared" si="25"/>
        <v>0.7</v>
      </c>
      <c r="I78" s="16">
        <v>3</v>
      </c>
      <c r="J78" s="16">
        <f t="shared" si="25"/>
        <v>0.7</v>
      </c>
      <c r="K78" s="16"/>
      <c r="L78" s="10"/>
      <c r="M78" s="10"/>
      <c r="N78" s="17"/>
      <c r="O78" s="10" t="str">
        <f t="shared" si="23"/>
        <v xml:space="preserve"> </v>
      </c>
      <c r="P78" s="10" t="str">
        <f t="shared" si="23"/>
        <v xml:space="preserve"> </v>
      </c>
      <c r="Q78" s="10">
        <f t="shared" si="23"/>
        <v>13.200000000000001</v>
      </c>
      <c r="R78" s="10" t="str">
        <f t="shared" si="23"/>
        <v xml:space="preserve"> </v>
      </c>
      <c r="S78" s="10" t="str">
        <f t="shared" si="23"/>
        <v xml:space="preserve"> </v>
      </c>
      <c r="T78" s="10" t="str">
        <f t="shared" si="23"/>
        <v xml:space="preserve"> </v>
      </c>
    </row>
    <row r="79" spans="1:20" x14ac:dyDescent="0.35">
      <c r="A79" s="11">
        <v>74</v>
      </c>
      <c r="B79" s="15" t="s">
        <v>29</v>
      </c>
      <c r="C79" s="7" t="s">
        <v>21</v>
      </c>
      <c r="D79" s="7">
        <v>1</v>
      </c>
      <c r="E79" s="7">
        <v>1</v>
      </c>
      <c r="F79" s="13">
        <v>3</v>
      </c>
      <c r="G79" s="10">
        <f t="shared" si="26"/>
        <v>4.4000000000000004</v>
      </c>
      <c r="H79" s="16">
        <f t="shared" si="25"/>
        <v>0.7</v>
      </c>
      <c r="I79" s="16">
        <v>3</v>
      </c>
      <c r="J79" s="16">
        <f t="shared" si="25"/>
        <v>0.7</v>
      </c>
      <c r="K79" s="16"/>
      <c r="L79" s="10"/>
      <c r="M79" s="10"/>
      <c r="N79" s="17"/>
      <c r="O79" s="10" t="str">
        <f t="shared" si="23"/>
        <v xml:space="preserve"> </v>
      </c>
      <c r="P79" s="10" t="str">
        <f t="shared" si="23"/>
        <v xml:space="preserve"> </v>
      </c>
      <c r="Q79" s="10">
        <f t="shared" si="23"/>
        <v>13.200000000000001</v>
      </c>
      <c r="R79" s="10" t="str">
        <f t="shared" si="23"/>
        <v xml:space="preserve"> </v>
      </c>
      <c r="S79" s="10" t="str">
        <f t="shared" si="23"/>
        <v xml:space="preserve"> </v>
      </c>
      <c r="T79" s="10" t="str">
        <f t="shared" si="23"/>
        <v xml:space="preserve"> </v>
      </c>
    </row>
    <row r="80" spans="1:20" x14ac:dyDescent="0.35">
      <c r="A80" s="11">
        <v>75</v>
      </c>
      <c r="B80" s="15" t="s">
        <v>30</v>
      </c>
      <c r="C80" s="7" t="s">
        <v>24</v>
      </c>
      <c r="D80" s="7">
        <v>1</v>
      </c>
      <c r="E80" s="7">
        <v>1</v>
      </c>
      <c r="F80" s="13">
        <f>ROUND((I78/4)/0.1+1,0)</f>
        <v>9</v>
      </c>
      <c r="G80" s="10">
        <f t="shared" si="26"/>
        <v>1.9200000000000002</v>
      </c>
      <c r="H80" s="16">
        <f>0.23-0.025-0.025</f>
        <v>0.18000000000000002</v>
      </c>
      <c r="I80" s="16">
        <f t="shared" ref="I80:I82" si="32">0.75-0.025-0.025</f>
        <v>0.7</v>
      </c>
      <c r="J80" s="16">
        <f>0.23-0.025-0.025</f>
        <v>0.18000000000000002</v>
      </c>
      <c r="K80" s="16">
        <f t="shared" ref="K80:K82" si="33">0.75-0.025-0.025</f>
        <v>0.7</v>
      </c>
      <c r="L80" s="10">
        <v>0.08</v>
      </c>
      <c r="M80" s="10">
        <v>0.08</v>
      </c>
      <c r="N80" s="17"/>
      <c r="O80" s="10" t="str">
        <f t="shared" si="23"/>
        <v xml:space="preserve"> </v>
      </c>
      <c r="P80" s="10" t="str">
        <f t="shared" si="23"/>
        <v xml:space="preserve"> </v>
      </c>
      <c r="Q80" s="10" t="str">
        <f t="shared" si="23"/>
        <v xml:space="preserve"> </v>
      </c>
      <c r="R80" s="10" t="str">
        <f t="shared" si="23"/>
        <v xml:space="preserve"> </v>
      </c>
      <c r="S80" s="10" t="str">
        <f t="shared" si="23"/>
        <v xml:space="preserve"> </v>
      </c>
      <c r="T80" s="10">
        <f t="shared" si="23"/>
        <v>17.28</v>
      </c>
    </row>
    <row r="81" spans="1:20" x14ac:dyDescent="0.35">
      <c r="A81" s="11">
        <v>76</v>
      </c>
      <c r="B81" s="15" t="s">
        <v>31</v>
      </c>
      <c r="C81" s="7" t="s">
        <v>24</v>
      </c>
      <c r="D81" s="7">
        <v>1</v>
      </c>
      <c r="E81" s="7">
        <v>1</v>
      </c>
      <c r="F81" s="13">
        <f t="shared" ref="F81" si="34">ROUND((I78/4)/0.1+1,0)</f>
        <v>9</v>
      </c>
      <c r="G81" s="10">
        <f t="shared" si="26"/>
        <v>1.9200000000000002</v>
      </c>
      <c r="H81" s="16">
        <f t="shared" ref="H81:H82" si="35">0.23-0.025-0.025</f>
        <v>0.18000000000000002</v>
      </c>
      <c r="I81" s="16">
        <f t="shared" si="32"/>
        <v>0.7</v>
      </c>
      <c r="J81" s="16">
        <f t="shared" ref="J81:J82" si="36">0.23-0.025-0.025</f>
        <v>0.18000000000000002</v>
      </c>
      <c r="K81" s="16">
        <f t="shared" si="33"/>
        <v>0.7</v>
      </c>
      <c r="L81" s="10">
        <v>0.08</v>
      </c>
      <c r="M81" s="10">
        <v>0.08</v>
      </c>
      <c r="N81" s="17"/>
      <c r="O81" s="10" t="str">
        <f t="shared" si="23"/>
        <v xml:space="preserve"> </v>
      </c>
      <c r="P81" s="10" t="str">
        <f t="shared" si="23"/>
        <v xml:space="preserve"> </v>
      </c>
      <c r="Q81" s="10" t="str">
        <f t="shared" si="23"/>
        <v xml:space="preserve"> </v>
      </c>
      <c r="R81" s="10" t="str">
        <f t="shared" si="23"/>
        <v xml:space="preserve"> </v>
      </c>
      <c r="S81" s="10" t="str">
        <f t="shared" si="23"/>
        <v xml:space="preserve"> </v>
      </c>
      <c r="T81" s="10">
        <f t="shared" si="23"/>
        <v>17.28</v>
      </c>
    </row>
    <row r="82" spans="1:20" x14ac:dyDescent="0.35">
      <c r="A82" s="11">
        <v>77</v>
      </c>
      <c r="B82" s="15" t="s">
        <v>32</v>
      </c>
      <c r="C82" s="7" t="s">
        <v>24</v>
      </c>
      <c r="D82" s="7">
        <v>1</v>
      </c>
      <c r="E82" s="7">
        <v>1</v>
      </c>
      <c r="F82" s="13">
        <f>ROUND((I78/2)/0.125+1,0)</f>
        <v>13</v>
      </c>
      <c r="G82" s="10">
        <f t="shared" si="26"/>
        <v>1.9200000000000002</v>
      </c>
      <c r="H82" s="16">
        <f t="shared" si="35"/>
        <v>0.18000000000000002</v>
      </c>
      <c r="I82" s="16">
        <f t="shared" si="32"/>
        <v>0.7</v>
      </c>
      <c r="J82" s="16">
        <f t="shared" si="36"/>
        <v>0.18000000000000002</v>
      </c>
      <c r="K82" s="16">
        <f t="shared" si="33"/>
        <v>0.7</v>
      </c>
      <c r="L82" s="10">
        <v>0.08</v>
      </c>
      <c r="M82" s="10">
        <v>0.08</v>
      </c>
      <c r="N82" s="17"/>
      <c r="O82" s="10" t="str">
        <f t="shared" si="23"/>
        <v xml:space="preserve"> </v>
      </c>
      <c r="P82" s="10" t="str">
        <f t="shared" si="23"/>
        <v xml:space="preserve"> </v>
      </c>
      <c r="Q82" s="10" t="str">
        <f t="shared" si="23"/>
        <v xml:space="preserve"> </v>
      </c>
      <c r="R82" s="10" t="str">
        <f t="shared" si="23"/>
        <v xml:space="preserve"> </v>
      </c>
      <c r="S82" s="10" t="str">
        <f t="shared" si="23"/>
        <v xml:space="preserve"> </v>
      </c>
      <c r="T82" s="10">
        <f t="shared" si="23"/>
        <v>24.96</v>
      </c>
    </row>
    <row r="83" spans="1:20" x14ac:dyDescent="0.35">
      <c r="A83" s="11">
        <v>78</v>
      </c>
      <c r="B83" s="15" t="s">
        <v>33</v>
      </c>
      <c r="C83" s="7" t="s">
        <v>23</v>
      </c>
      <c r="D83" s="7">
        <v>1</v>
      </c>
      <c r="E83" s="7">
        <v>1</v>
      </c>
      <c r="F83" s="13">
        <v>2</v>
      </c>
      <c r="G83" s="10">
        <f t="shared" si="26"/>
        <v>4.4000000000000004</v>
      </c>
      <c r="H83" s="16">
        <f t="shared" ref="H83" si="37">0.75-0.025-0.025</f>
        <v>0.7</v>
      </c>
      <c r="I83" s="16">
        <v>3</v>
      </c>
      <c r="J83" s="16">
        <f t="shared" ref="J83" si="38">0.75-0.025-0.025</f>
        <v>0.7</v>
      </c>
      <c r="K83" s="16"/>
      <c r="L83" s="10"/>
      <c r="M83" s="10"/>
      <c r="N83" s="17"/>
      <c r="O83" s="10" t="str">
        <f t="shared" si="23"/>
        <v xml:space="preserve"> </v>
      </c>
      <c r="P83" s="10" t="str">
        <f t="shared" si="23"/>
        <v xml:space="preserve"> </v>
      </c>
      <c r="Q83" s="10" t="str">
        <f t="shared" si="23"/>
        <v xml:space="preserve"> </v>
      </c>
      <c r="R83" s="10" t="str">
        <f t="shared" si="23"/>
        <v xml:space="preserve"> </v>
      </c>
      <c r="S83" s="10">
        <f t="shared" si="23"/>
        <v>8.8000000000000007</v>
      </c>
      <c r="T83" s="10" t="str">
        <f t="shared" si="23"/>
        <v xml:space="preserve"> </v>
      </c>
    </row>
    <row r="84" spans="1:20" x14ac:dyDescent="0.35">
      <c r="A84" s="11">
        <v>79</v>
      </c>
      <c r="B84" s="12" t="s">
        <v>46</v>
      </c>
      <c r="C84" s="7"/>
      <c r="D84" s="7"/>
      <c r="E84" s="7"/>
      <c r="F84" s="13"/>
      <c r="G84" s="10"/>
      <c r="H84" s="16"/>
      <c r="I84" s="16"/>
      <c r="J84" s="16"/>
      <c r="K84" s="16"/>
      <c r="L84" s="10"/>
      <c r="M84" s="10"/>
      <c r="N84" s="17"/>
      <c r="O84" s="10" t="str">
        <f t="shared" si="23"/>
        <v xml:space="preserve"> </v>
      </c>
      <c r="P84" s="10" t="str">
        <f t="shared" si="23"/>
        <v xml:space="preserve"> </v>
      </c>
      <c r="Q84" s="10" t="str">
        <f t="shared" si="23"/>
        <v xml:space="preserve"> </v>
      </c>
      <c r="R84" s="10" t="str">
        <f t="shared" si="23"/>
        <v xml:space="preserve"> </v>
      </c>
      <c r="S84" s="10" t="str">
        <f t="shared" si="23"/>
        <v xml:space="preserve"> </v>
      </c>
      <c r="T84" s="10" t="str">
        <f t="shared" si="23"/>
        <v xml:space="preserve"> </v>
      </c>
    </row>
    <row r="85" spans="1:20" x14ac:dyDescent="0.35">
      <c r="A85" s="11">
        <v>80</v>
      </c>
      <c r="B85" s="15" t="s">
        <v>28</v>
      </c>
      <c r="C85" s="7" t="s">
        <v>21</v>
      </c>
      <c r="D85" s="7">
        <v>1</v>
      </c>
      <c r="E85" s="7">
        <v>1</v>
      </c>
      <c r="F85" s="13">
        <v>3</v>
      </c>
      <c r="G85" s="10">
        <f t="shared" si="26"/>
        <v>4.9000000000000004</v>
      </c>
      <c r="H85" s="16">
        <f t="shared" ref="H85:H93" si="39">0.75-0.025-0.025</f>
        <v>0.7</v>
      </c>
      <c r="I85" s="16">
        <v>3.5</v>
      </c>
      <c r="J85" s="16">
        <f t="shared" ref="J85:J86" si="40">0.75-0.025-0.025</f>
        <v>0.7</v>
      </c>
      <c r="K85" s="16"/>
      <c r="L85" s="10"/>
      <c r="M85" s="10"/>
      <c r="N85" s="17"/>
      <c r="O85" s="10" t="str">
        <f t="shared" si="23"/>
        <v xml:space="preserve"> </v>
      </c>
      <c r="P85" s="10" t="str">
        <f t="shared" si="23"/>
        <v xml:space="preserve"> </v>
      </c>
      <c r="Q85" s="10">
        <f t="shared" si="23"/>
        <v>14.700000000000001</v>
      </c>
      <c r="R85" s="10" t="str">
        <f t="shared" si="23"/>
        <v xml:space="preserve"> </v>
      </c>
      <c r="S85" s="10" t="str">
        <f t="shared" si="23"/>
        <v xml:space="preserve"> </v>
      </c>
      <c r="T85" s="10" t="str">
        <f t="shared" si="23"/>
        <v xml:space="preserve"> </v>
      </c>
    </row>
    <row r="86" spans="1:20" x14ac:dyDescent="0.35">
      <c r="A86" s="11">
        <v>81</v>
      </c>
      <c r="B86" s="15" t="s">
        <v>29</v>
      </c>
      <c r="C86" s="7" t="s">
        <v>21</v>
      </c>
      <c r="D86" s="7">
        <v>1</v>
      </c>
      <c r="E86" s="7">
        <v>1</v>
      </c>
      <c r="F86" s="13">
        <v>3</v>
      </c>
      <c r="G86" s="10">
        <f t="shared" si="26"/>
        <v>4.9000000000000004</v>
      </c>
      <c r="H86" s="16">
        <f t="shared" si="39"/>
        <v>0.7</v>
      </c>
      <c r="I86" s="16">
        <v>3.5</v>
      </c>
      <c r="J86" s="16">
        <f t="shared" si="40"/>
        <v>0.7</v>
      </c>
      <c r="K86" s="16"/>
      <c r="L86" s="10"/>
      <c r="M86" s="10"/>
      <c r="N86" s="17"/>
      <c r="O86" s="10" t="str">
        <f t="shared" si="23"/>
        <v xml:space="preserve"> </v>
      </c>
      <c r="P86" s="10" t="str">
        <f t="shared" si="23"/>
        <v xml:space="preserve"> </v>
      </c>
      <c r="Q86" s="10">
        <f t="shared" si="23"/>
        <v>14.700000000000001</v>
      </c>
      <c r="R86" s="10" t="str">
        <f t="shared" si="23"/>
        <v xml:space="preserve"> </v>
      </c>
      <c r="S86" s="10" t="str">
        <f t="shared" si="23"/>
        <v xml:space="preserve"> </v>
      </c>
      <c r="T86" s="10" t="str">
        <f t="shared" si="23"/>
        <v xml:space="preserve"> </v>
      </c>
    </row>
    <row r="87" spans="1:20" x14ac:dyDescent="0.35">
      <c r="A87" s="11">
        <v>82</v>
      </c>
      <c r="B87" s="15" t="s">
        <v>30</v>
      </c>
      <c r="C87" s="7" t="s">
        <v>24</v>
      </c>
      <c r="D87" s="7">
        <v>1</v>
      </c>
      <c r="E87" s="7">
        <v>1</v>
      </c>
      <c r="F87" s="13">
        <f>ROUND((I85/4)/0.1+1,0)</f>
        <v>10</v>
      </c>
      <c r="G87" s="10">
        <f t="shared" si="26"/>
        <v>1.9200000000000002</v>
      </c>
      <c r="H87" s="16">
        <f>0.23-0.025-0.025</f>
        <v>0.18000000000000002</v>
      </c>
      <c r="I87" s="16">
        <f t="shared" ref="I87:I89" si="41">0.75-0.025-0.025</f>
        <v>0.7</v>
      </c>
      <c r="J87" s="16">
        <f>0.23-0.025-0.025</f>
        <v>0.18000000000000002</v>
      </c>
      <c r="K87" s="16">
        <f t="shared" ref="K87:K89" si="42">0.75-0.025-0.025</f>
        <v>0.7</v>
      </c>
      <c r="L87" s="10">
        <v>0.08</v>
      </c>
      <c r="M87" s="10">
        <v>0.08</v>
      </c>
      <c r="N87" s="17"/>
      <c r="O87" s="10" t="str">
        <f t="shared" si="23"/>
        <v xml:space="preserve"> </v>
      </c>
      <c r="P87" s="10" t="str">
        <f t="shared" si="23"/>
        <v xml:space="preserve"> </v>
      </c>
      <c r="Q87" s="10" t="str">
        <f t="shared" si="23"/>
        <v xml:space="preserve"> </v>
      </c>
      <c r="R87" s="10" t="str">
        <f t="shared" si="23"/>
        <v xml:space="preserve"> </v>
      </c>
      <c r="S87" s="10" t="str">
        <f t="shared" si="23"/>
        <v xml:space="preserve"> </v>
      </c>
      <c r="T87" s="10">
        <f t="shared" si="23"/>
        <v>19.200000000000003</v>
      </c>
    </row>
    <row r="88" spans="1:20" x14ac:dyDescent="0.35">
      <c r="A88" s="11">
        <v>83</v>
      </c>
      <c r="B88" s="15" t="s">
        <v>31</v>
      </c>
      <c r="C88" s="7" t="s">
        <v>24</v>
      </c>
      <c r="D88" s="7">
        <v>1</v>
      </c>
      <c r="E88" s="7">
        <v>1</v>
      </c>
      <c r="F88" s="13">
        <f t="shared" ref="F88" si="43">ROUND((I85/4)/0.1+1,0)</f>
        <v>10</v>
      </c>
      <c r="G88" s="10">
        <f t="shared" si="26"/>
        <v>1.9200000000000002</v>
      </c>
      <c r="H88" s="16">
        <f t="shared" ref="H88:H89" si="44">0.23-0.025-0.025</f>
        <v>0.18000000000000002</v>
      </c>
      <c r="I88" s="16">
        <f t="shared" si="41"/>
        <v>0.7</v>
      </c>
      <c r="J88" s="16">
        <f t="shared" ref="J88:J89" si="45">0.23-0.025-0.025</f>
        <v>0.18000000000000002</v>
      </c>
      <c r="K88" s="16">
        <f t="shared" si="42"/>
        <v>0.7</v>
      </c>
      <c r="L88" s="10">
        <v>0.08</v>
      </c>
      <c r="M88" s="10">
        <v>0.08</v>
      </c>
      <c r="N88" s="17"/>
      <c r="O88" s="10" t="str">
        <f t="shared" si="23"/>
        <v xml:space="preserve"> </v>
      </c>
      <c r="P88" s="10" t="str">
        <f t="shared" si="23"/>
        <v xml:space="preserve"> </v>
      </c>
      <c r="Q88" s="10" t="str">
        <f t="shared" si="23"/>
        <v xml:space="preserve"> </v>
      </c>
      <c r="R88" s="10" t="str">
        <f t="shared" si="23"/>
        <v xml:space="preserve"> </v>
      </c>
      <c r="S88" s="10" t="str">
        <f t="shared" si="23"/>
        <v xml:space="preserve"> </v>
      </c>
      <c r="T88" s="10">
        <f t="shared" si="23"/>
        <v>19.200000000000003</v>
      </c>
    </row>
    <row r="89" spans="1:20" x14ac:dyDescent="0.35">
      <c r="A89" s="11">
        <v>84</v>
      </c>
      <c r="B89" s="15" t="s">
        <v>32</v>
      </c>
      <c r="C89" s="7" t="s">
        <v>24</v>
      </c>
      <c r="D89" s="7">
        <v>1</v>
      </c>
      <c r="E89" s="7">
        <v>1</v>
      </c>
      <c r="F89" s="13">
        <f>ROUND((I85/2)/0.125+1,0)</f>
        <v>15</v>
      </c>
      <c r="G89" s="10">
        <f t="shared" si="26"/>
        <v>1.9200000000000002</v>
      </c>
      <c r="H89" s="16">
        <f t="shared" si="44"/>
        <v>0.18000000000000002</v>
      </c>
      <c r="I89" s="16">
        <f t="shared" si="41"/>
        <v>0.7</v>
      </c>
      <c r="J89" s="16">
        <f t="shared" si="45"/>
        <v>0.18000000000000002</v>
      </c>
      <c r="K89" s="16">
        <f t="shared" si="42"/>
        <v>0.7</v>
      </c>
      <c r="L89" s="10">
        <v>0.08</v>
      </c>
      <c r="M89" s="10">
        <v>0.08</v>
      </c>
      <c r="N89" s="17"/>
      <c r="O89" s="10" t="str">
        <f t="shared" si="23"/>
        <v xml:space="preserve"> </v>
      </c>
      <c r="P89" s="10" t="str">
        <f t="shared" si="23"/>
        <v xml:space="preserve"> </v>
      </c>
      <c r="Q89" s="10" t="str">
        <f t="shared" si="23"/>
        <v xml:space="preserve"> </v>
      </c>
      <c r="R89" s="10" t="str">
        <f t="shared" si="23"/>
        <v xml:space="preserve"> </v>
      </c>
      <c r="S89" s="10" t="str">
        <f t="shared" si="23"/>
        <v xml:space="preserve"> </v>
      </c>
      <c r="T89" s="10">
        <f t="shared" si="23"/>
        <v>28.8</v>
      </c>
    </row>
    <row r="90" spans="1:20" x14ac:dyDescent="0.35">
      <c r="A90" s="11">
        <v>85</v>
      </c>
      <c r="B90" s="15" t="s">
        <v>33</v>
      </c>
      <c r="C90" s="7" t="s">
        <v>23</v>
      </c>
      <c r="D90" s="7">
        <v>1</v>
      </c>
      <c r="E90" s="7">
        <v>1</v>
      </c>
      <c r="F90" s="13">
        <v>2</v>
      </c>
      <c r="G90" s="10">
        <f t="shared" si="26"/>
        <v>4.9000000000000004</v>
      </c>
      <c r="H90" s="16">
        <f t="shared" ref="H90" si="46">0.75-0.025-0.025</f>
        <v>0.7</v>
      </c>
      <c r="I90" s="16">
        <v>3.5</v>
      </c>
      <c r="J90" s="16">
        <f t="shared" ref="J90" si="47">0.75-0.025-0.025</f>
        <v>0.7</v>
      </c>
      <c r="K90" s="16"/>
      <c r="L90" s="10"/>
      <c r="M90" s="10"/>
      <c r="N90" s="17"/>
      <c r="O90" s="10" t="str">
        <f t="shared" si="23"/>
        <v xml:space="preserve"> </v>
      </c>
      <c r="P90" s="10" t="str">
        <f t="shared" si="23"/>
        <v xml:space="preserve"> </v>
      </c>
      <c r="Q90" s="10" t="str">
        <f t="shared" si="23"/>
        <v xml:space="preserve"> </v>
      </c>
      <c r="R90" s="10" t="str">
        <f t="shared" si="23"/>
        <v xml:space="preserve"> </v>
      </c>
      <c r="S90" s="10">
        <f t="shared" si="23"/>
        <v>9.8000000000000007</v>
      </c>
      <c r="T90" s="10" t="str">
        <f t="shared" si="23"/>
        <v xml:space="preserve"> </v>
      </c>
    </row>
    <row r="91" spans="1:20" x14ac:dyDescent="0.35">
      <c r="A91" s="11">
        <v>86</v>
      </c>
      <c r="B91" s="12" t="s">
        <v>47</v>
      </c>
      <c r="C91" s="7"/>
      <c r="D91" s="7"/>
      <c r="E91" s="7"/>
      <c r="F91" s="13"/>
      <c r="G91" s="10"/>
      <c r="H91" s="16"/>
      <c r="I91" s="16"/>
      <c r="J91" s="16"/>
      <c r="K91" s="16"/>
      <c r="L91" s="10"/>
      <c r="M91" s="10"/>
      <c r="N91" s="17"/>
      <c r="O91" s="10" t="str">
        <f t="shared" si="23"/>
        <v xml:space="preserve"> </v>
      </c>
      <c r="P91" s="10" t="str">
        <f t="shared" si="23"/>
        <v xml:space="preserve"> </v>
      </c>
      <c r="Q91" s="10" t="str">
        <f t="shared" si="23"/>
        <v xml:space="preserve"> </v>
      </c>
      <c r="R91" s="10" t="str">
        <f t="shared" si="23"/>
        <v xml:space="preserve"> </v>
      </c>
      <c r="S91" s="10" t="str">
        <f t="shared" si="23"/>
        <v xml:space="preserve"> </v>
      </c>
      <c r="T91" s="10" t="str">
        <f t="shared" si="23"/>
        <v xml:space="preserve"> </v>
      </c>
    </row>
    <row r="92" spans="1:20" x14ac:dyDescent="0.35">
      <c r="A92" s="11">
        <v>87</v>
      </c>
      <c r="B92" s="15" t="s">
        <v>28</v>
      </c>
      <c r="C92" s="7" t="s">
        <v>21</v>
      </c>
      <c r="D92" s="7">
        <v>1</v>
      </c>
      <c r="E92" s="7">
        <v>1</v>
      </c>
      <c r="F92" s="13">
        <v>3</v>
      </c>
      <c r="G92" s="10">
        <f t="shared" si="26"/>
        <v>2.4</v>
      </c>
      <c r="H92" s="16">
        <f t="shared" si="39"/>
        <v>0.7</v>
      </c>
      <c r="I92" s="16">
        <v>1</v>
      </c>
      <c r="J92" s="16">
        <f t="shared" ref="J92:J93" si="48">0.75-0.025-0.025</f>
        <v>0.7</v>
      </c>
      <c r="K92" s="16"/>
      <c r="L92" s="10"/>
      <c r="M92" s="10"/>
      <c r="N92" s="17"/>
      <c r="O92" s="10" t="str">
        <f t="shared" si="23"/>
        <v xml:space="preserve"> </v>
      </c>
      <c r="P92" s="10" t="str">
        <f t="shared" si="23"/>
        <v xml:space="preserve"> </v>
      </c>
      <c r="Q92" s="10">
        <f t="shared" si="23"/>
        <v>7.1999999999999993</v>
      </c>
      <c r="R92" s="10" t="str">
        <f t="shared" si="23"/>
        <v xml:space="preserve"> </v>
      </c>
      <c r="S92" s="10" t="str">
        <f t="shared" si="23"/>
        <v xml:space="preserve"> </v>
      </c>
      <c r="T92" s="10" t="str">
        <f t="shared" si="23"/>
        <v xml:space="preserve"> </v>
      </c>
    </row>
    <row r="93" spans="1:20" x14ac:dyDescent="0.35">
      <c r="A93" s="11">
        <v>88</v>
      </c>
      <c r="B93" s="15" t="s">
        <v>29</v>
      </c>
      <c r="C93" s="7" t="s">
        <v>21</v>
      </c>
      <c r="D93" s="7">
        <v>1</v>
      </c>
      <c r="E93" s="7">
        <v>1</v>
      </c>
      <c r="F93" s="13">
        <v>3</v>
      </c>
      <c r="G93" s="10">
        <f t="shared" si="26"/>
        <v>2.4</v>
      </c>
      <c r="H93" s="16">
        <f t="shared" si="39"/>
        <v>0.7</v>
      </c>
      <c r="I93" s="16">
        <v>1</v>
      </c>
      <c r="J93" s="16">
        <f t="shared" si="48"/>
        <v>0.7</v>
      </c>
      <c r="K93" s="16"/>
      <c r="L93" s="10"/>
      <c r="M93" s="10"/>
      <c r="N93" s="17"/>
      <c r="O93" s="10" t="str">
        <f t="shared" si="23"/>
        <v xml:space="preserve"> </v>
      </c>
      <c r="P93" s="10" t="str">
        <f t="shared" si="23"/>
        <v xml:space="preserve"> </v>
      </c>
      <c r="Q93" s="10">
        <f t="shared" si="23"/>
        <v>7.1999999999999993</v>
      </c>
      <c r="R93" s="10" t="str">
        <f t="shared" si="23"/>
        <v xml:space="preserve"> </v>
      </c>
      <c r="S93" s="10" t="str">
        <f t="shared" si="23"/>
        <v xml:space="preserve"> </v>
      </c>
      <c r="T93" s="10" t="str">
        <f t="shared" si="23"/>
        <v xml:space="preserve"> </v>
      </c>
    </row>
    <row r="94" spans="1:20" x14ac:dyDescent="0.35">
      <c r="A94" s="11">
        <v>89</v>
      </c>
      <c r="B94" s="15" t="s">
        <v>30</v>
      </c>
      <c r="C94" s="7" t="s">
        <v>24</v>
      </c>
      <c r="D94" s="7">
        <v>1</v>
      </c>
      <c r="E94" s="7">
        <v>1</v>
      </c>
      <c r="F94" s="13">
        <f>ROUND((I92/4)/0.1+1,0)</f>
        <v>4</v>
      </c>
      <c r="G94" s="10">
        <f t="shared" si="26"/>
        <v>1.9200000000000002</v>
      </c>
      <c r="H94" s="16">
        <f>0.23-0.025-0.025</f>
        <v>0.18000000000000002</v>
      </c>
      <c r="I94" s="16">
        <f t="shared" ref="I94:I96" si="49">0.75-0.025-0.025</f>
        <v>0.7</v>
      </c>
      <c r="J94" s="16">
        <f>0.23-0.025-0.025</f>
        <v>0.18000000000000002</v>
      </c>
      <c r="K94" s="16">
        <f t="shared" ref="K94:K96" si="50">0.75-0.025-0.025</f>
        <v>0.7</v>
      </c>
      <c r="L94" s="10">
        <v>0.08</v>
      </c>
      <c r="M94" s="10">
        <v>0.08</v>
      </c>
      <c r="N94" s="17"/>
      <c r="O94" s="10" t="str">
        <f t="shared" si="23"/>
        <v xml:space="preserve"> </v>
      </c>
      <c r="P94" s="10" t="str">
        <f t="shared" si="23"/>
        <v xml:space="preserve"> </v>
      </c>
      <c r="Q94" s="10" t="str">
        <f t="shared" si="23"/>
        <v xml:space="preserve"> </v>
      </c>
      <c r="R94" s="10" t="str">
        <f t="shared" si="23"/>
        <v xml:space="preserve"> </v>
      </c>
      <c r="S94" s="10" t="str">
        <f t="shared" si="23"/>
        <v xml:space="preserve"> </v>
      </c>
      <c r="T94" s="10">
        <f t="shared" si="23"/>
        <v>7.6800000000000006</v>
      </c>
    </row>
    <row r="95" spans="1:20" x14ac:dyDescent="0.35">
      <c r="A95" s="11">
        <v>90</v>
      </c>
      <c r="B95" s="15" t="s">
        <v>31</v>
      </c>
      <c r="C95" s="7" t="s">
        <v>24</v>
      </c>
      <c r="D95" s="7">
        <v>1</v>
      </c>
      <c r="E95" s="7">
        <v>1</v>
      </c>
      <c r="F95" s="13">
        <f t="shared" ref="F95" si="51">ROUND((I92/4)/0.1+1,0)</f>
        <v>4</v>
      </c>
      <c r="G95" s="10">
        <f t="shared" si="26"/>
        <v>1.9200000000000002</v>
      </c>
      <c r="H95" s="16">
        <f t="shared" ref="H95:H96" si="52">0.23-0.025-0.025</f>
        <v>0.18000000000000002</v>
      </c>
      <c r="I95" s="16">
        <f t="shared" si="49"/>
        <v>0.7</v>
      </c>
      <c r="J95" s="16">
        <f t="shared" ref="J95:J96" si="53">0.23-0.025-0.025</f>
        <v>0.18000000000000002</v>
      </c>
      <c r="K95" s="16">
        <f t="shared" si="50"/>
        <v>0.7</v>
      </c>
      <c r="L95" s="10">
        <v>0.08</v>
      </c>
      <c r="M95" s="10">
        <v>0.08</v>
      </c>
      <c r="N95" s="17"/>
      <c r="O95" s="10" t="str">
        <f t="shared" si="23"/>
        <v xml:space="preserve"> </v>
      </c>
      <c r="P95" s="10" t="str">
        <f t="shared" si="23"/>
        <v xml:space="preserve"> </v>
      </c>
      <c r="Q95" s="10" t="str">
        <f t="shared" si="23"/>
        <v xml:space="preserve"> </v>
      </c>
      <c r="R95" s="10" t="str">
        <f t="shared" si="23"/>
        <v xml:space="preserve"> </v>
      </c>
      <c r="S95" s="10" t="str">
        <f t="shared" si="23"/>
        <v xml:space="preserve"> </v>
      </c>
      <c r="T95" s="10">
        <f t="shared" si="23"/>
        <v>7.6800000000000006</v>
      </c>
    </row>
    <row r="96" spans="1:20" x14ac:dyDescent="0.35">
      <c r="A96" s="11">
        <v>91</v>
      </c>
      <c r="B96" s="15" t="s">
        <v>32</v>
      </c>
      <c r="C96" s="7" t="s">
        <v>24</v>
      </c>
      <c r="D96" s="7">
        <v>1</v>
      </c>
      <c r="E96" s="7">
        <v>1</v>
      </c>
      <c r="F96" s="13">
        <f>ROUND((I92/2)/0.1+1,0)</f>
        <v>6</v>
      </c>
      <c r="G96" s="10">
        <f t="shared" si="26"/>
        <v>1.9200000000000002</v>
      </c>
      <c r="H96" s="16">
        <f t="shared" si="52"/>
        <v>0.18000000000000002</v>
      </c>
      <c r="I96" s="16">
        <f t="shared" si="49"/>
        <v>0.7</v>
      </c>
      <c r="J96" s="16">
        <f t="shared" si="53"/>
        <v>0.18000000000000002</v>
      </c>
      <c r="K96" s="16">
        <f t="shared" si="50"/>
        <v>0.7</v>
      </c>
      <c r="L96" s="10">
        <v>0.08</v>
      </c>
      <c r="M96" s="10">
        <v>0.08</v>
      </c>
      <c r="N96" s="17"/>
      <c r="O96" s="10" t="str">
        <f t="shared" si="23"/>
        <v xml:space="preserve"> </v>
      </c>
      <c r="P96" s="10" t="str">
        <f t="shared" si="23"/>
        <v xml:space="preserve"> </v>
      </c>
      <c r="Q96" s="10" t="str">
        <f t="shared" si="23"/>
        <v xml:space="preserve"> </v>
      </c>
      <c r="R96" s="10" t="str">
        <f t="shared" si="23"/>
        <v xml:space="preserve"> </v>
      </c>
      <c r="S96" s="10" t="str">
        <f t="shared" si="23"/>
        <v xml:space="preserve"> </v>
      </c>
      <c r="T96" s="10">
        <f t="shared" si="23"/>
        <v>11.520000000000001</v>
      </c>
    </row>
    <row r="97" spans="1:20" x14ac:dyDescent="0.35">
      <c r="A97" s="11">
        <v>92</v>
      </c>
      <c r="B97" s="15" t="s">
        <v>33</v>
      </c>
      <c r="C97" s="7" t="s">
        <v>23</v>
      </c>
      <c r="D97" s="7">
        <v>1</v>
      </c>
      <c r="E97" s="7">
        <v>1</v>
      </c>
      <c r="F97" s="13">
        <v>2</v>
      </c>
      <c r="G97" s="10">
        <f t="shared" si="26"/>
        <v>2.4</v>
      </c>
      <c r="H97" s="16">
        <f t="shared" ref="H97" si="54">0.75-0.025-0.025</f>
        <v>0.7</v>
      </c>
      <c r="I97" s="16">
        <v>1</v>
      </c>
      <c r="J97" s="16">
        <f t="shared" ref="J97" si="55">0.75-0.025-0.025</f>
        <v>0.7</v>
      </c>
      <c r="K97" s="16"/>
      <c r="L97" s="10"/>
      <c r="M97" s="10"/>
      <c r="N97" s="17"/>
      <c r="O97" s="10" t="str">
        <f t="shared" si="23"/>
        <v xml:space="preserve"> </v>
      </c>
      <c r="P97" s="10" t="str">
        <f t="shared" si="23"/>
        <v xml:space="preserve"> </v>
      </c>
      <c r="Q97" s="10" t="str">
        <f t="shared" si="23"/>
        <v xml:space="preserve"> </v>
      </c>
      <c r="R97" s="10" t="str">
        <f t="shared" si="23"/>
        <v xml:space="preserve"> </v>
      </c>
      <c r="S97" s="10">
        <f t="shared" si="23"/>
        <v>4.8</v>
      </c>
      <c r="T97" s="10" t="str">
        <f t="shared" si="23"/>
        <v xml:space="preserve"> </v>
      </c>
    </row>
    <row r="98" spans="1:20" x14ac:dyDescent="0.35">
      <c r="A98" s="11">
        <v>93</v>
      </c>
      <c r="B98" s="12" t="s">
        <v>48</v>
      </c>
      <c r="C98" s="7"/>
      <c r="D98" s="7"/>
      <c r="E98" s="7"/>
      <c r="F98" s="13"/>
      <c r="G98" s="10"/>
      <c r="H98" s="16"/>
      <c r="I98" s="16"/>
      <c r="J98" s="16"/>
      <c r="K98" s="16"/>
      <c r="L98" s="10"/>
      <c r="M98" s="10"/>
      <c r="N98" s="17"/>
      <c r="O98" s="10" t="str">
        <f t="shared" si="23"/>
        <v xml:space="preserve"> </v>
      </c>
      <c r="P98" s="10" t="str">
        <f t="shared" si="23"/>
        <v xml:space="preserve"> </v>
      </c>
      <c r="Q98" s="10" t="str">
        <f t="shared" si="23"/>
        <v xml:space="preserve"> </v>
      </c>
      <c r="R98" s="10" t="str">
        <f t="shared" si="23"/>
        <v xml:space="preserve"> </v>
      </c>
      <c r="S98" s="10" t="str">
        <f t="shared" si="23"/>
        <v xml:space="preserve"> </v>
      </c>
      <c r="T98" s="10" t="str">
        <f t="shared" si="23"/>
        <v xml:space="preserve"> </v>
      </c>
    </row>
    <row r="99" spans="1:20" x14ac:dyDescent="0.35">
      <c r="A99" s="11">
        <v>94</v>
      </c>
      <c r="B99" s="15" t="s">
        <v>28</v>
      </c>
      <c r="C99" s="7" t="s">
        <v>21</v>
      </c>
      <c r="D99" s="7">
        <v>1</v>
      </c>
      <c r="E99" s="7">
        <v>1</v>
      </c>
      <c r="F99" s="13">
        <v>2</v>
      </c>
      <c r="G99" s="10">
        <f t="shared" si="26"/>
        <v>2.5999999999999996</v>
      </c>
      <c r="H99" s="16">
        <f t="shared" ref="H99:H124" si="56">0.75-0.025-0.025</f>
        <v>0.7</v>
      </c>
      <c r="I99" s="16">
        <v>1.2</v>
      </c>
      <c r="J99" s="16">
        <f t="shared" ref="J99:J102" si="57">0.75-0.025-0.025</f>
        <v>0.7</v>
      </c>
      <c r="K99" s="16"/>
      <c r="L99" s="10"/>
      <c r="M99" s="10"/>
      <c r="N99" s="17"/>
      <c r="O99" s="10" t="str">
        <f t="shared" si="23"/>
        <v xml:space="preserve"> </v>
      </c>
      <c r="P99" s="10" t="str">
        <f t="shared" si="23"/>
        <v xml:space="preserve"> </v>
      </c>
      <c r="Q99" s="10">
        <f t="shared" si="23"/>
        <v>5.1999999999999993</v>
      </c>
      <c r="R99" s="10" t="str">
        <f t="shared" si="23"/>
        <v xml:space="preserve"> </v>
      </c>
      <c r="S99" s="10" t="str">
        <f t="shared" si="23"/>
        <v xml:space="preserve"> </v>
      </c>
      <c r="T99" s="10" t="str">
        <f t="shared" si="23"/>
        <v xml:space="preserve"> </v>
      </c>
    </row>
    <row r="100" spans="1:20" x14ac:dyDescent="0.35">
      <c r="A100" s="11">
        <v>95</v>
      </c>
      <c r="B100" s="15" t="s">
        <v>28</v>
      </c>
      <c r="C100" s="7" t="s">
        <v>22</v>
      </c>
      <c r="D100" s="7">
        <v>1</v>
      </c>
      <c r="E100" s="7">
        <v>1</v>
      </c>
      <c r="F100" s="13">
        <v>1</v>
      </c>
      <c r="G100" s="10">
        <f t="shared" si="26"/>
        <v>2.5999999999999996</v>
      </c>
      <c r="H100" s="16">
        <f t="shared" si="56"/>
        <v>0.7</v>
      </c>
      <c r="I100" s="16">
        <v>1.2</v>
      </c>
      <c r="J100" s="16">
        <f t="shared" si="57"/>
        <v>0.7</v>
      </c>
      <c r="K100" s="16"/>
      <c r="L100" s="10"/>
      <c r="M100" s="10"/>
      <c r="N100" s="17"/>
      <c r="O100" s="10" t="str">
        <f t="shared" si="23"/>
        <v xml:space="preserve"> </v>
      </c>
      <c r="P100" s="10" t="str">
        <f t="shared" si="23"/>
        <v xml:space="preserve"> </v>
      </c>
      <c r="Q100" s="10" t="str">
        <f t="shared" si="23"/>
        <v xml:space="preserve"> </v>
      </c>
      <c r="R100" s="10">
        <f t="shared" si="23"/>
        <v>2.5999999999999996</v>
      </c>
      <c r="S100" s="10" t="str">
        <f t="shared" si="23"/>
        <v xml:space="preserve"> </v>
      </c>
      <c r="T100" s="10" t="str">
        <f t="shared" si="23"/>
        <v xml:space="preserve"> </v>
      </c>
    </row>
    <row r="101" spans="1:20" x14ac:dyDescent="0.35">
      <c r="A101" s="11">
        <v>96</v>
      </c>
      <c r="B101" s="15" t="s">
        <v>29</v>
      </c>
      <c r="C101" s="7" t="s">
        <v>21</v>
      </c>
      <c r="D101" s="7">
        <v>1</v>
      </c>
      <c r="E101" s="7">
        <v>1</v>
      </c>
      <c r="F101" s="13">
        <v>2</v>
      </c>
      <c r="G101" s="10">
        <f t="shared" si="26"/>
        <v>2.5999999999999996</v>
      </c>
      <c r="H101" s="16">
        <f t="shared" si="56"/>
        <v>0.7</v>
      </c>
      <c r="I101" s="16">
        <v>1.2</v>
      </c>
      <c r="J101" s="16">
        <f t="shared" si="57"/>
        <v>0.7</v>
      </c>
      <c r="K101" s="16"/>
      <c r="L101" s="10"/>
      <c r="M101" s="10"/>
      <c r="N101" s="17"/>
      <c r="O101" s="10" t="str">
        <f t="shared" si="23"/>
        <v xml:space="preserve"> </v>
      </c>
      <c r="P101" s="10" t="str">
        <f t="shared" si="23"/>
        <v xml:space="preserve"> </v>
      </c>
      <c r="Q101" s="10">
        <f t="shared" si="23"/>
        <v>5.1999999999999993</v>
      </c>
      <c r="R101" s="10" t="str">
        <f t="shared" si="23"/>
        <v xml:space="preserve"> </v>
      </c>
      <c r="S101" s="10" t="str">
        <f t="shared" si="23"/>
        <v xml:space="preserve"> </v>
      </c>
      <c r="T101" s="10" t="str">
        <f t="shared" si="23"/>
        <v xml:space="preserve"> </v>
      </c>
    </row>
    <row r="102" spans="1:20" x14ac:dyDescent="0.35">
      <c r="A102" s="11">
        <v>97</v>
      </c>
      <c r="B102" s="15" t="s">
        <v>29</v>
      </c>
      <c r="C102" s="7" t="s">
        <v>22</v>
      </c>
      <c r="D102" s="7">
        <v>1</v>
      </c>
      <c r="E102" s="7">
        <v>1</v>
      </c>
      <c r="F102" s="13">
        <v>1</v>
      </c>
      <c r="G102" s="10">
        <f t="shared" si="26"/>
        <v>2.5999999999999996</v>
      </c>
      <c r="H102" s="16">
        <f t="shared" si="56"/>
        <v>0.7</v>
      </c>
      <c r="I102" s="16">
        <v>1.2</v>
      </c>
      <c r="J102" s="16">
        <f t="shared" si="57"/>
        <v>0.7</v>
      </c>
      <c r="K102" s="16"/>
      <c r="L102" s="10"/>
      <c r="M102" s="10"/>
      <c r="N102" s="17"/>
      <c r="O102" s="10" t="str">
        <f t="shared" si="23"/>
        <v xml:space="preserve"> </v>
      </c>
      <c r="P102" s="10" t="str">
        <f t="shared" si="23"/>
        <v xml:space="preserve"> </v>
      </c>
      <c r="Q102" s="10" t="str">
        <f t="shared" si="23"/>
        <v xml:space="preserve"> </v>
      </c>
      <c r="R102" s="10">
        <f t="shared" si="23"/>
        <v>2.5999999999999996</v>
      </c>
      <c r="S102" s="10" t="str">
        <f t="shared" si="23"/>
        <v xml:space="preserve"> </v>
      </c>
      <c r="T102" s="10" t="str">
        <f t="shared" si="23"/>
        <v xml:space="preserve"> </v>
      </c>
    </row>
    <row r="103" spans="1:20" x14ac:dyDescent="0.35">
      <c r="A103" s="11">
        <v>98</v>
      </c>
      <c r="B103" s="15" t="s">
        <v>30</v>
      </c>
      <c r="C103" s="7" t="s">
        <v>24</v>
      </c>
      <c r="D103" s="7">
        <v>1</v>
      </c>
      <c r="E103" s="7">
        <v>1</v>
      </c>
      <c r="F103" s="13">
        <f>ROUND((I99/4)/0.1+1,0)</f>
        <v>4</v>
      </c>
      <c r="G103" s="10">
        <f t="shared" si="26"/>
        <v>2.06</v>
      </c>
      <c r="H103" s="16">
        <f>0.3-0.025-0.025</f>
        <v>0.24999999999999997</v>
      </c>
      <c r="I103" s="16">
        <f t="shared" ref="I103:I105" si="58">0.75-0.025-0.025</f>
        <v>0.7</v>
      </c>
      <c r="J103" s="16">
        <f>0.3-0.025-0.025</f>
        <v>0.24999999999999997</v>
      </c>
      <c r="K103" s="16">
        <f t="shared" ref="K103:K105" si="59">0.75-0.025-0.025</f>
        <v>0.7</v>
      </c>
      <c r="L103" s="10">
        <v>0.08</v>
      </c>
      <c r="M103" s="10">
        <v>0.08</v>
      </c>
      <c r="N103" s="17"/>
      <c r="O103" s="10" t="str">
        <f t="shared" si="23"/>
        <v xml:space="preserve"> </v>
      </c>
      <c r="P103" s="10" t="str">
        <f t="shared" si="23"/>
        <v xml:space="preserve"> </v>
      </c>
      <c r="Q103" s="10" t="str">
        <f t="shared" si="23"/>
        <v xml:space="preserve"> </v>
      </c>
      <c r="R103" s="10" t="str">
        <f t="shared" si="23"/>
        <v xml:space="preserve"> </v>
      </c>
      <c r="S103" s="10" t="str">
        <f t="shared" si="23"/>
        <v xml:space="preserve"> </v>
      </c>
      <c r="T103" s="10">
        <f t="shared" si="23"/>
        <v>8.24</v>
      </c>
    </row>
    <row r="104" spans="1:20" x14ac:dyDescent="0.35">
      <c r="A104" s="11">
        <v>99</v>
      </c>
      <c r="B104" s="15" t="s">
        <v>31</v>
      </c>
      <c r="C104" s="7" t="s">
        <v>24</v>
      </c>
      <c r="D104" s="7">
        <v>1</v>
      </c>
      <c r="E104" s="7">
        <v>1</v>
      </c>
      <c r="F104" s="13">
        <f>ROUND((I99/4)/0.1+1,0)</f>
        <v>4</v>
      </c>
      <c r="G104" s="10">
        <f t="shared" si="26"/>
        <v>2.06</v>
      </c>
      <c r="H104" s="16">
        <f t="shared" ref="H104:H105" si="60">0.3-0.025-0.025</f>
        <v>0.24999999999999997</v>
      </c>
      <c r="I104" s="16">
        <f t="shared" si="58"/>
        <v>0.7</v>
      </c>
      <c r="J104" s="16">
        <f>0.3-0.025-0.025</f>
        <v>0.24999999999999997</v>
      </c>
      <c r="K104" s="16">
        <f t="shared" si="59"/>
        <v>0.7</v>
      </c>
      <c r="L104" s="10">
        <v>0.08</v>
      </c>
      <c r="M104" s="10">
        <v>0.08</v>
      </c>
      <c r="N104" s="17"/>
      <c r="O104" s="10" t="str">
        <f t="shared" si="23"/>
        <v xml:space="preserve"> </v>
      </c>
      <c r="P104" s="10" t="str">
        <f t="shared" si="23"/>
        <v xml:space="preserve"> </v>
      </c>
      <c r="Q104" s="10" t="str">
        <f t="shared" si="23"/>
        <v xml:space="preserve"> </v>
      </c>
      <c r="R104" s="10" t="str">
        <f t="shared" si="23"/>
        <v xml:space="preserve"> </v>
      </c>
      <c r="S104" s="10" t="str">
        <f t="shared" si="23"/>
        <v xml:space="preserve"> </v>
      </c>
      <c r="T104" s="10">
        <f t="shared" si="23"/>
        <v>8.24</v>
      </c>
    </row>
    <row r="105" spans="1:20" x14ac:dyDescent="0.35">
      <c r="A105" s="11">
        <v>100</v>
      </c>
      <c r="B105" s="15" t="s">
        <v>32</v>
      </c>
      <c r="C105" s="7" t="s">
        <v>24</v>
      </c>
      <c r="D105" s="7">
        <v>1</v>
      </c>
      <c r="E105" s="7">
        <v>1</v>
      </c>
      <c r="F105" s="13">
        <f>ROUND((I99/2)/0.1+1,0)</f>
        <v>7</v>
      </c>
      <c r="G105" s="10">
        <f t="shared" si="26"/>
        <v>2.06</v>
      </c>
      <c r="H105" s="16">
        <f t="shared" si="60"/>
        <v>0.24999999999999997</v>
      </c>
      <c r="I105" s="16">
        <f t="shared" si="58"/>
        <v>0.7</v>
      </c>
      <c r="J105" s="16">
        <f>0.3-0.025-0.025</f>
        <v>0.24999999999999997</v>
      </c>
      <c r="K105" s="16">
        <f t="shared" si="59"/>
        <v>0.7</v>
      </c>
      <c r="L105" s="10">
        <v>0.08</v>
      </c>
      <c r="M105" s="10">
        <v>0.08</v>
      </c>
      <c r="N105" s="17"/>
      <c r="O105" s="10" t="str">
        <f t="shared" si="23"/>
        <v xml:space="preserve"> </v>
      </c>
      <c r="P105" s="10" t="str">
        <f t="shared" si="23"/>
        <v xml:space="preserve"> </v>
      </c>
      <c r="Q105" s="10" t="str">
        <f t="shared" si="23"/>
        <v xml:space="preserve"> </v>
      </c>
      <c r="R105" s="10" t="str">
        <f t="shared" ref="P105:T156" si="61">IF($C105=R$4,$D105*$E105*$F105*$G105," ")</f>
        <v xml:space="preserve"> </v>
      </c>
      <c r="S105" s="10" t="str">
        <f t="shared" si="61"/>
        <v xml:space="preserve"> </v>
      </c>
      <c r="T105" s="10">
        <f t="shared" si="61"/>
        <v>14.42</v>
      </c>
    </row>
    <row r="106" spans="1:20" x14ac:dyDescent="0.35">
      <c r="A106" s="11">
        <v>101</v>
      </c>
      <c r="B106" s="15" t="s">
        <v>33</v>
      </c>
      <c r="C106" s="7" t="s">
        <v>23</v>
      </c>
      <c r="D106" s="7">
        <v>1</v>
      </c>
      <c r="E106" s="7">
        <v>1</v>
      </c>
      <c r="F106" s="13">
        <v>2</v>
      </c>
      <c r="G106" s="10">
        <f t="shared" si="26"/>
        <v>2.5999999999999996</v>
      </c>
      <c r="H106" s="16">
        <f t="shared" si="56"/>
        <v>0.7</v>
      </c>
      <c r="I106" s="16">
        <v>1.2</v>
      </c>
      <c r="J106" s="16">
        <f t="shared" ref="J106" si="62">0.75-0.025-0.025</f>
        <v>0.7</v>
      </c>
      <c r="K106" s="16"/>
      <c r="L106" s="10"/>
      <c r="M106" s="10"/>
      <c r="N106" s="17"/>
      <c r="O106" s="10" t="str">
        <f t="shared" ref="O106:O169" si="63">IF($C106=O$4,$D106*$E106*$F106*$G106," ")</f>
        <v xml:space="preserve"> </v>
      </c>
      <c r="P106" s="10" t="str">
        <f t="shared" si="61"/>
        <v xml:space="preserve"> </v>
      </c>
      <c r="Q106" s="10" t="str">
        <f t="shared" si="61"/>
        <v xml:space="preserve"> </v>
      </c>
      <c r="R106" s="10" t="str">
        <f t="shared" si="61"/>
        <v xml:space="preserve"> </v>
      </c>
      <c r="S106" s="10">
        <f t="shared" si="61"/>
        <v>5.1999999999999993</v>
      </c>
      <c r="T106" s="10" t="str">
        <f t="shared" si="61"/>
        <v xml:space="preserve"> </v>
      </c>
    </row>
    <row r="107" spans="1:20" x14ac:dyDescent="0.35">
      <c r="A107" s="11">
        <v>102</v>
      </c>
      <c r="B107" s="12" t="s">
        <v>49</v>
      </c>
      <c r="C107" s="7"/>
      <c r="D107" s="7"/>
      <c r="E107" s="7"/>
      <c r="F107" s="13"/>
      <c r="G107" s="10"/>
      <c r="H107" s="16"/>
      <c r="I107" s="16"/>
      <c r="J107" s="16"/>
      <c r="K107" s="16"/>
      <c r="L107" s="10"/>
      <c r="M107" s="10"/>
      <c r="N107" s="17"/>
      <c r="O107" s="10" t="str">
        <f t="shared" si="63"/>
        <v xml:space="preserve"> </v>
      </c>
      <c r="P107" s="10" t="str">
        <f t="shared" si="61"/>
        <v xml:space="preserve"> </v>
      </c>
      <c r="Q107" s="10" t="str">
        <f t="shared" si="61"/>
        <v xml:space="preserve"> </v>
      </c>
      <c r="R107" s="10" t="str">
        <f t="shared" si="61"/>
        <v xml:space="preserve"> </v>
      </c>
      <c r="S107" s="10" t="str">
        <f t="shared" si="61"/>
        <v xml:space="preserve"> </v>
      </c>
      <c r="T107" s="10" t="str">
        <f t="shared" si="61"/>
        <v xml:space="preserve"> </v>
      </c>
    </row>
    <row r="108" spans="1:20" x14ac:dyDescent="0.35">
      <c r="A108" s="11">
        <v>103</v>
      </c>
      <c r="B108" s="15" t="s">
        <v>28</v>
      </c>
      <c r="C108" s="7" t="s">
        <v>21</v>
      </c>
      <c r="D108" s="7">
        <v>1</v>
      </c>
      <c r="E108" s="7">
        <v>1</v>
      </c>
      <c r="F108" s="13">
        <v>2</v>
      </c>
      <c r="G108" s="10">
        <f t="shared" si="26"/>
        <v>6.4</v>
      </c>
      <c r="H108" s="16">
        <f t="shared" si="56"/>
        <v>0.7</v>
      </c>
      <c r="I108" s="16">
        <v>5</v>
      </c>
      <c r="J108" s="16">
        <f t="shared" ref="J108:J111" si="64">0.75-0.025-0.025</f>
        <v>0.7</v>
      </c>
      <c r="K108" s="16"/>
      <c r="L108" s="10"/>
      <c r="M108" s="10"/>
      <c r="N108" s="17"/>
      <c r="O108" s="10" t="str">
        <f t="shared" si="63"/>
        <v xml:space="preserve"> </v>
      </c>
      <c r="P108" s="10" t="str">
        <f t="shared" si="61"/>
        <v xml:space="preserve"> </v>
      </c>
      <c r="Q108" s="10">
        <f t="shared" si="61"/>
        <v>12.8</v>
      </c>
      <c r="R108" s="10" t="str">
        <f t="shared" si="61"/>
        <v xml:space="preserve"> </v>
      </c>
      <c r="S108" s="10" t="str">
        <f t="shared" si="61"/>
        <v xml:space="preserve"> </v>
      </c>
      <c r="T108" s="10" t="str">
        <f t="shared" si="61"/>
        <v xml:space="preserve"> </v>
      </c>
    </row>
    <row r="109" spans="1:20" x14ac:dyDescent="0.35">
      <c r="A109" s="11">
        <v>104</v>
      </c>
      <c r="B109" s="15" t="s">
        <v>28</v>
      </c>
      <c r="C109" s="7" t="s">
        <v>22</v>
      </c>
      <c r="D109" s="7">
        <v>1</v>
      </c>
      <c r="E109" s="7">
        <v>1</v>
      </c>
      <c r="F109" s="13">
        <v>1</v>
      </c>
      <c r="G109" s="10">
        <f t="shared" si="26"/>
        <v>6.4</v>
      </c>
      <c r="H109" s="16">
        <f t="shared" si="56"/>
        <v>0.7</v>
      </c>
      <c r="I109" s="16">
        <v>5</v>
      </c>
      <c r="J109" s="16">
        <f t="shared" si="64"/>
        <v>0.7</v>
      </c>
      <c r="K109" s="16"/>
      <c r="L109" s="10"/>
      <c r="M109" s="10"/>
      <c r="N109" s="17"/>
      <c r="O109" s="10" t="str">
        <f t="shared" si="63"/>
        <v xml:space="preserve"> </v>
      </c>
      <c r="P109" s="10" t="str">
        <f t="shared" si="61"/>
        <v xml:space="preserve"> </v>
      </c>
      <c r="Q109" s="10" t="str">
        <f t="shared" si="61"/>
        <v xml:space="preserve"> </v>
      </c>
      <c r="R109" s="10">
        <f t="shared" si="61"/>
        <v>6.4</v>
      </c>
      <c r="S109" s="10" t="str">
        <f t="shared" si="61"/>
        <v xml:space="preserve"> </v>
      </c>
      <c r="T109" s="10" t="str">
        <f t="shared" si="61"/>
        <v xml:space="preserve"> </v>
      </c>
    </row>
    <row r="110" spans="1:20" x14ac:dyDescent="0.35">
      <c r="A110" s="11">
        <v>105</v>
      </c>
      <c r="B110" s="15" t="s">
        <v>29</v>
      </c>
      <c r="C110" s="7" t="s">
        <v>21</v>
      </c>
      <c r="D110" s="7">
        <v>1</v>
      </c>
      <c r="E110" s="7">
        <v>1</v>
      </c>
      <c r="F110" s="13">
        <v>2</v>
      </c>
      <c r="G110" s="10">
        <f t="shared" si="26"/>
        <v>6.4</v>
      </c>
      <c r="H110" s="16">
        <f t="shared" si="56"/>
        <v>0.7</v>
      </c>
      <c r="I110" s="16">
        <v>5</v>
      </c>
      <c r="J110" s="16">
        <f t="shared" si="64"/>
        <v>0.7</v>
      </c>
      <c r="K110" s="16"/>
      <c r="L110" s="10"/>
      <c r="M110" s="10"/>
      <c r="N110" s="17"/>
      <c r="O110" s="10" t="str">
        <f t="shared" si="63"/>
        <v xml:space="preserve"> </v>
      </c>
      <c r="P110" s="10" t="str">
        <f t="shared" si="61"/>
        <v xml:space="preserve"> </v>
      </c>
      <c r="Q110" s="10">
        <f t="shared" si="61"/>
        <v>12.8</v>
      </c>
      <c r="R110" s="10" t="str">
        <f t="shared" si="61"/>
        <v xml:space="preserve"> </v>
      </c>
      <c r="S110" s="10" t="str">
        <f t="shared" si="61"/>
        <v xml:space="preserve"> </v>
      </c>
      <c r="T110" s="10" t="str">
        <f t="shared" si="61"/>
        <v xml:space="preserve"> </v>
      </c>
    </row>
    <row r="111" spans="1:20" x14ac:dyDescent="0.35">
      <c r="A111" s="11">
        <v>106</v>
      </c>
      <c r="B111" s="15" t="s">
        <v>29</v>
      </c>
      <c r="C111" s="7" t="s">
        <v>22</v>
      </c>
      <c r="D111" s="7">
        <v>1</v>
      </c>
      <c r="E111" s="7">
        <v>1</v>
      </c>
      <c r="F111" s="13">
        <v>1</v>
      </c>
      <c r="G111" s="10">
        <f t="shared" si="26"/>
        <v>6.4</v>
      </c>
      <c r="H111" s="16">
        <f t="shared" si="56"/>
        <v>0.7</v>
      </c>
      <c r="I111" s="16">
        <v>5</v>
      </c>
      <c r="J111" s="16">
        <f t="shared" si="64"/>
        <v>0.7</v>
      </c>
      <c r="K111" s="16"/>
      <c r="L111" s="10"/>
      <c r="M111" s="10"/>
      <c r="N111" s="17"/>
      <c r="O111" s="10" t="str">
        <f t="shared" si="63"/>
        <v xml:space="preserve"> </v>
      </c>
      <c r="P111" s="10" t="str">
        <f t="shared" si="61"/>
        <v xml:space="preserve"> </v>
      </c>
      <c r="Q111" s="10" t="str">
        <f t="shared" si="61"/>
        <v xml:space="preserve"> </v>
      </c>
      <c r="R111" s="10">
        <f t="shared" si="61"/>
        <v>6.4</v>
      </c>
      <c r="S111" s="10" t="str">
        <f t="shared" si="61"/>
        <v xml:space="preserve"> </v>
      </c>
      <c r="T111" s="10" t="str">
        <f t="shared" si="61"/>
        <v xml:space="preserve"> </v>
      </c>
    </row>
    <row r="112" spans="1:20" x14ac:dyDescent="0.35">
      <c r="A112" s="11">
        <v>107</v>
      </c>
      <c r="B112" s="15" t="s">
        <v>30</v>
      </c>
      <c r="C112" s="7" t="s">
        <v>24</v>
      </c>
      <c r="D112" s="7">
        <v>1</v>
      </c>
      <c r="E112" s="7">
        <v>1</v>
      </c>
      <c r="F112" s="13">
        <f>ROUND((I108/4)/0.1+1,0)</f>
        <v>14</v>
      </c>
      <c r="G112" s="10">
        <f t="shared" si="26"/>
        <v>2.06</v>
      </c>
      <c r="H112" s="16">
        <f>0.3-0.025-0.025</f>
        <v>0.24999999999999997</v>
      </c>
      <c r="I112" s="16">
        <f t="shared" ref="I112:I114" si="65">0.75-0.025-0.025</f>
        <v>0.7</v>
      </c>
      <c r="J112" s="16">
        <f>0.3-0.025-0.025</f>
        <v>0.24999999999999997</v>
      </c>
      <c r="K112" s="16">
        <f t="shared" ref="K112:K114" si="66">0.75-0.025-0.025</f>
        <v>0.7</v>
      </c>
      <c r="L112" s="10">
        <v>0.08</v>
      </c>
      <c r="M112" s="10">
        <v>0.08</v>
      </c>
      <c r="N112" s="17"/>
      <c r="O112" s="10" t="str">
        <f t="shared" si="63"/>
        <v xml:space="preserve"> </v>
      </c>
      <c r="P112" s="10" t="str">
        <f t="shared" si="61"/>
        <v xml:space="preserve"> </v>
      </c>
      <c r="Q112" s="10" t="str">
        <f t="shared" si="61"/>
        <v xml:space="preserve"> </v>
      </c>
      <c r="R112" s="10" t="str">
        <f t="shared" si="61"/>
        <v xml:space="preserve"> </v>
      </c>
      <c r="S112" s="10" t="str">
        <f t="shared" si="61"/>
        <v xml:space="preserve"> </v>
      </c>
      <c r="T112" s="10">
        <f t="shared" si="61"/>
        <v>28.84</v>
      </c>
    </row>
    <row r="113" spans="1:20" x14ac:dyDescent="0.35">
      <c r="A113" s="11">
        <v>108</v>
      </c>
      <c r="B113" s="15" t="s">
        <v>31</v>
      </c>
      <c r="C113" s="7" t="s">
        <v>24</v>
      </c>
      <c r="D113" s="7">
        <v>1</v>
      </c>
      <c r="E113" s="7">
        <v>1</v>
      </c>
      <c r="F113" s="13">
        <f>ROUND((I108/4)/0.1+1,0)</f>
        <v>14</v>
      </c>
      <c r="G113" s="10">
        <f t="shared" si="26"/>
        <v>2.06</v>
      </c>
      <c r="H113" s="16">
        <f t="shared" ref="H113:H114" si="67">0.3-0.025-0.025</f>
        <v>0.24999999999999997</v>
      </c>
      <c r="I113" s="16">
        <f t="shared" si="65"/>
        <v>0.7</v>
      </c>
      <c r="J113" s="16">
        <f>0.3-0.025-0.025</f>
        <v>0.24999999999999997</v>
      </c>
      <c r="K113" s="16">
        <f t="shared" si="66"/>
        <v>0.7</v>
      </c>
      <c r="L113" s="10">
        <v>0.08</v>
      </c>
      <c r="M113" s="10">
        <v>0.08</v>
      </c>
      <c r="N113" s="17"/>
      <c r="O113" s="10" t="str">
        <f t="shared" si="63"/>
        <v xml:space="preserve"> </v>
      </c>
      <c r="P113" s="10" t="str">
        <f t="shared" si="61"/>
        <v xml:space="preserve"> </v>
      </c>
      <c r="Q113" s="10" t="str">
        <f t="shared" si="61"/>
        <v xml:space="preserve"> </v>
      </c>
      <c r="R113" s="10" t="str">
        <f t="shared" si="61"/>
        <v xml:space="preserve"> </v>
      </c>
      <c r="S113" s="10" t="str">
        <f t="shared" si="61"/>
        <v xml:space="preserve"> </v>
      </c>
      <c r="T113" s="10">
        <f t="shared" si="61"/>
        <v>28.84</v>
      </c>
    </row>
    <row r="114" spans="1:20" x14ac:dyDescent="0.35">
      <c r="A114" s="11">
        <v>109</v>
      </c>
      <c r="B114" s="15" t="s">
        <v>32</v>
      </c>
      <c r="C114" s="7" t="s">
        <v>24</v>
      </c>
      <c r="D114" s="7">
        <v>1</v>
      </c>
      <c r="E114" s="7">
        <v>1</v>
      </c>
      <c r="F114" s="13">
        <f>ROUND((I108/2)/0.175+1,0)</f>
        <v>15</v>
      </c>
      <c r="G114" s="10">
        <f t="shared" si="26"/>
        <v>2.06</v>
      </c>
      <c r="H114" s="16">
        <f t="shared" si="67"/>
        <v>0.24999999999999997</v>
      </c>
      <c r="I114" s="16">
        <f t="shared" si="65"/>
        <v>0.7</v>
      </c>
      <c r="J114" s="16">
        <f>0.3-0.025-0.025</f>
        <v>0.24999999999999997</v>
      </c>
      <c r="K114" s="16">
        <f t="shared" si="66"/>
        <v>0.7</v>
      </c>
      <c r="L114" s="10">
        <v>0.08</v>
      </c>
      <c r="M114" s="10">
        <v>0.08</v>
      </c>
      <c r="N114" s="17"/>
      <c r="O114" s="10" t="str">
        <f t="shared" si="63"/>
        <v xml:space="preserve"> </v>
      </c>
      <c r="P114" s="10" t="str">
        <f t="shared" si="61"/>
        <v xml:space="preserve"> </v>
      </c>
      <c r="Q114" s="10" t="str">
        <f t="shared" si="61"/>
        <v xml:space="preserve"> </v>
      </c>
      <c r="R114" s="10" t="str">
        <f t="shared" si="61"/>
        <v xml:space="preserve"> </v>
      </c>
      <c r="S114" s="10" t="str">
        <f t="shared" si="61"/>
        <v xml:space="preserve"> </v>
      </c>
      <c r="T114" s="10">
        <f t="shared" si="61"/>
        <v>30.900000000000002</v>
      </c>
    </row>
    <row r="115" spans="1:20" x14ac:dyDescent="0.35">
      <c r="A115" s="11">
        <v>110</v>
      </c>
      <c r="B115" s="15" t="s">
        <v>33</v>
      </c>
      <c r="C115" s="7" t="s">
        <v>23</v>
      </c>
      <c r="D115" s="7">
        <v>1</v>
      </c>
      <c r="E115" s="7">
        <v>1</v>
      </c>
      <c r="F115" s="13">
        <v>2</v>
      </c>
      <c r="G115" s="10">
        <f t="shared" si="26"/>
        <v>6.4</v>
      </c>
      <c r="H115" s="16">
        <f t="shared" si="56"/>
        <v>0.7</v>
      </c>
      <c r="I115" s="16">
        <v>5</v>
      </c>
      <c r="J115" s="16">
        <f t="shared" ref="J115" si="68">0.75-0.025-0.025</f>
        <v>0.7</v>
      </c>
      <c r="K115" s="16"/>
      <c r="L115" s="10"/>
      <c r="M115" s="10"/>
      <c r="N115" s="17"/>
      <c r="O115" s="10" t="str">
        <f t="shared" si="63"/>
        <v xml:space="preserve"> </v>
      </c>
      <c r="P115" s="10" t="str">
        <f t="shared" si="61"/>
        <v xml:space="preserve"> </v>
      </c>
      <c r="Q115" s="10" t="str">
        <f t="shared" si="61"/>
        <v xml:space="preserve"> </v>
      </c>
      <c r="R115" s="10" t="str">
        <f t="shared" si="61"/>
        <v xml:space="preserve"> </v>
      </c>
      <c r="S115" s="10">
        <f t="shared" si="61"/>
        <v>12.8</v>
      </c>
      <c r="T115" s="10" t="str">
        <f t="shared" si="61"/>
        <v xml:space="preserve"> </v>
      </c>
    </row>
    <row r="116" spans="1:20" x14ac:dyDescent="0.35">
      <c r="A116" s="11">
        <v>111</v>
      </c>
      <c r="B116" s="12" t="s">
        <v>50</v>
      </c>
      <c r="C116" s="7"/>
      <c r="D116" s="7"/>
      <c r="E116" s="7"/>
      <c r="F116" s="13"/>
      <c r="G116" s="10"/>
      <c r="H116" s="16"/>
      <c r="I116" s="16"/>
      <c r="J116" s="16"/>
      <c r="K116" s="16"/>
      <c r="L116" s="10"/>
      <c r="M116" s="10"/>
      <c r="N116" s="17"/>
      <c r="O116" s="10" t="str">
        <f t="shared" si="63"/>
        <v xml:space="preserve"> </v>
      </c>
      <c r="P116" s="10" t="str">
        <f t="shared" si="61"/>
        <v xml:space="preserve"> </v>
      </c>
      <c r="Q116" s="10" t="str">
        <f t="shared" si="61"/>
        <v xml:space="preserve"> </v>
      </c>
      <c r="R116" s="10" t="str">
        <f t="shared" si="61"/>
        <v xml:space="preserve"> </v>
      </c>
      <c r="S116" s="10" t="str">
        <f t="shared" si="61"/>
        <v xml:space="preserve"> </v>
      </c>
      <c r="T116" s="10" t="str">
        <f t="shared" si="61"/>
        <v xml:space="preserve"> </v>
      </c>
    </row>
    <row r="117" spans="1:20" x14ac:dyDescent="0.35">
      <c r="A117" s="11">
        <v>112</v>
      </c>
      <c r="B117" s="15" t="s">
        <v>28</v>
      </c>
      <c r="C117" s="7" t="s">
        <v>21</v>
      </c>
      <c r="D117" s="7">
        <v>1</v>
      </c>
      <c r="E117" s="7">
        <v>1</v>
      </c>
      <c r="F117" s="13">
        <v>2</v>
      </c>
      <c r="G117" s="10">
        <f t="shared" si="26"/>
        <v>2.5999999999999996</v>
      </c>
      <c r="H117" s="16">
        <f t="shared" si="56"/>
        <v>0.7</v>
      </c>
      <c r="I117" s="16">
        <v>1.2</v>
      </c>
      <c r="J117" s="16">
        <f t="shared" ref="J117:J120" si="69">0.75-0.025-0.025</f>
        <v>0.7</v>
      </c>
      <c r="K117" s="16"/>
      <c r="L117" s="10"/>
      <c r="M117" s="10"/>
      <c r="N117" s="17"/>
      <c r="O117" s="10" t="str">
        <f t="shared" si="63"/>
        <v xml:space="preserve"> </v>
      </c>
      <c r="P117" s="10" t="str">
        <f t="shared" si="61"/>
        <v xml:space="preserve"> </v>
      </c>
      <c r="Q117" s="10">
        <f t="shared" si="61"/>
        <v>5.1999999999999993</v>
      </c>
      <c r="R117" s="10" t="str">
        <f t="shared" si="61"/>
        <v xml:space="preserve"> </v>
      </c>
      <c r="S117" s="10" t="str">
        <f t="shared" si="61"/>
        <v xml:space="preserve"> </v>
      </c>
      <c r="T117" s="10" t="str">
        <f t="shared" si="61"/>
        <v xml:space="preserve"> </v>
      </c>
    </row>
    <row r="118" spans="1:20" x14ac:dyDescent="0.35">
      <c r="A118" s="11">
        <v>113</v>
      </c>
      <c r="B118" s="15" t="s">
        <v>28</v>
      </c>
      <c r="C118" s="7" t="s">
        <v>22</v>
      </c>
      <c r="D118" s="7">
        <v>1</v>
      </c>
      <c r="E118" s="7">
        <v>1</v>
      </c>
      <c r="F118" s="13">
        <v>1</v>
      </c>
      <c r="G118" s="10">
        <f t="shared" si="26"/>
        <v>2.5999999999999996</v>
      </c>
      <c r="H118" s="16">
        <f t="shared" si="56"/>
        <v>0.7</v>
      </c>
      <c r="I118" s="16">
        <v>1.2</v>
      </c>
      <c r="J118" s="16">
        <f t="shared" si="69"/>
        <v>0.7</v>
      </c>
      <c r="K118" s="16"/>
      <c r="L118" s="10"/>
      <c r="M118" s="10"/>
      <c r="N118" s="17"/>
      <c r="O118" s="10" t="str">
        <f t="shared" si="63"/>
        <v xml:space="preserve"> </v>
      </c>
      <c r="P118" s="10" t="str">
        <f t="shared" si="61"/>
        <v xml:space="preserve"> </v>
      </c>
      <c r="Q118" s="10" t="str">
        <f t="shared" si="61"/>
        <v xml:space="preserve"> </v>
      </c>
      <c r="R118" s="10">
        <f t="shared" si="61"/>
        <v>2.5999999999999996</v>
      </c>
      <c r="S118" s="10" t="str">
        <f t="shared" si="61"/>
        <v xml:space="preserve"> </v>
      </c>
      <c r="T118" s="10" t="str">
        <f t="shared" si="61"/>
        <v xml:space="preserve"> </v>
      </c>
    </row>
    <row r="119" spans="1:20" x14ac:dyDescent="0.35">
      <c r="A119" s="11">
        <v>114</v>
      </c>
      <c r="B119" s="15" t="s">
        <v>29</v>
      </c>
      <c r="C119" s="7" t="s">
        <v>21</v>
      </c>
      <c r="D119" s="7">
        <v>1</v>
      </c>
      <c r="E119" s="7">
        <v>1</v>
      </c>
      <c r="F119" s="13">
        <v>2</v>
      </c>
      <c r="G119" s="10">
        <f t="shared" si="26"/>
        <v>2.5999999999999996</v>
      </c>
      <c r="H119" s="16">
        <f t="shared" si="56"/>
        <v>0.7</v>
      </c>
      <c r="I119" s="16">
        <v>1.2</v>
      </c>
      <c r="J119" s="16">
        <f t="shared" si="69"/>
        <v>0.7</v>
      </c>
      <c r="K119" s="16"/>
      <c r="L119" s="10"/>
      <c r="M119" s="10"/>
      <c r="N119" s="17"/>
      <c r="O119" s="10" t="str">
        <f t="shared" si="63"/>
        <v xml:space="preserve"> </v>
      </c>
      <c r="P119" s="10" t="str">
        <f t="shared" si="61"/>
        <v xml:space="preserve"> </v>
      </c>
      <c r="Q119" s="10">
        <f t="shared" si="61"/>
        <v>5.1999999999999993</v>
      </c>
      <c r="R119" s="10" t="str">
        <f t="shared" si="61"/>
        <v xml:space="preserve"> </v>
      </c>
      <c r="S119" s="10" t="str">
        <f t="shared" si="61"/>
        <v xml:space="preserve"> </v>
      </c>
      <c r="T119" s="10" t="str">
        <f t="shared" si="61"/>
        <v xml:space="preserve"> </v>
      </c>
    </row>
    <row r="120" spans="1:20" x14ac:dyDescent="0.35">
      <c r="A120" s="11">
        <v>115</v>
      </c>
      <c r="B120" s="15" t="s">
        <v>29</v>
      </c>
      <c r="C120" s="7" t="s">
        <v>22</v>
      </c>
      <c r="D120" s="7">
        <v>1</v>
      </c>
      <c r="E120" s="7">
        <v>1</v>
      </c>
      <c r="F120" s="13">
        <v>1</v>
      </c>
      <c r="G120" s="10">
        <f t="shared" si="26"/>
        <v>2.5999999999999996</v>
      </c>
      <c r="H120" s="16">
        <f t="shared" si="56"/>
        <v>0.7</v>
      </c>
      <c r="I120" s="16">
        <v>1.2</v>
      </c>
      <c r="J120" s="16">
        <f t="shared" si="69"/>
        <v>0.7</v>
      </c>
      <c r="K120" s="16"/>
      <c r="L120" s="10"/>
      <c r="M120" s="10"/>
      <c r="N120" s="17"/>
      <c r="O120" s="10" t="str">
        <f t="shared" si="63"/>
        <v xml:space="preserve"> </v>
      </c>
      <c r="P120" s="10" t="str">
        <f t="shared" si="61"/>
        <v xml:space="preserve"> </v>
      </c>
      <c r="Q120" s="10" t="str">
        <f t="shared" si="61"/>
        <v xml:space="preserve"> </v>
      </c>
      <c r="R120" s="10">
        <f t="shared" si="61"/>
        <v>2.5999999999999996</v>
      </c>
      <c r="S120" s="10" t="str">
        <f t="shared" si="61"/>
        <v xml:space="preserve"> </v>
      </c>
      <c r="T120" s="10" t="str">
        <f t="shared" si="61"/>
        <v xml:space="preserve"> </v>
      </c>
    </row>
    <row r="121" spans="1:20" x14ac:dyDescent="0.35">
      <c r="A121" s="11">
        <v>116</v>
      </c>
      <c r="B121" s="15" t="s">
        <v>30</v>
      </c>
      <c r="C121" s="7" t="s">
        <v>24</v>
      </c>
      <c r="D121" s="7">
        <v>1</v>
      </c>
      <c r="E121" s="7">
        <v>1</v>
      </c>
      <c r="F121" s="13">
        <f>ROUND((I117/4)/0.1+1,0)</f>
        <v>4</v>
      </c>
      <c r="G121" s="10">
        <f t="shared" si="26"/>
        <v>2.06</v>
      </c>
      <c r="H121" s="16">
        <f>0.3-0.025-0.025</f>
        <v>0.24999999999999997</v>
      </c>
      <c r="I121" s="16">
        <f t="shared" ref="I121:I123" si="70">0.75-0.025-0.025</f>
        <v>0.7</v>
      </c>
      <c r="J121" s="16">
        <f>0.3-0.025-0.025</f>
        <v>0.24999999999999997</v>
      </c>
      <c r="K121" s="16">
        <f t="shared" ref="K121:K123" si="71">0.75-0.025-0.025</f>
        <v>0.7</v>
      </c>
      <c r="L121" s="10">
        <v>0.08</v>
      </c>
      <c r="M121" s="10">
        <v>0.08</v>
      </c>
      <c r="N121" s="17"/>
      <c r="O121" s="10" t="str">
        <f t="shared" si="63"/>
        <v xml:space="preserve"> </v>
      </c>
      <c r="P121" s="10" t="str">
        <f t="shared" si="61"/>
        <v xml:space="preserve"> </v>
      </c>
      <c r="Q121" s="10" t="str">
        <f t="shared" si="61"/>
        <v xml:space="preserve"> </v>
      </c>
      <c r="R121" s="10" t="str">
        <f t="shared" si="61"/>
        <v xml:space="preserve"> </v>
      </c>
      <c r="S121" s="10" t="str">
        <f t="shared" si="61"/>
        <v xml:space="preserve"> </v>
      </c>
      <c r="T121" s="10">
        <f t="shared" si="61"/>
        <v>8.24</v>
      </c>
    </row>
    <row r="122" spans="1:20" x14ac:dyDescent="0.35">
      <c r="A122" s="11">
        <v>117</v>
      </c>
      <c r="B122" s="15" t="s">
        <v>31</v>
      </c>
      <c r="C122" s="7" t="s">
        <v>24</v>
      </c>
      <c r="D122" s="7">
        <v>1</v>
      </c>
      <c r="E122" s="7">
        <v>1</v>
      </c>
      <c r="F122" s="13">
        <f>ROUND((I117/4)/0.1+1,0)</f>
        <v>4</v>
      </c>
      <c r="G122" s="10">
        <f t="shared" si="26"/>
        <v>2.06</v>
      </c>
      <c r="H122" s="16">
        <f t="shared" ref="H122:H123" si="72">0.3-0.025-0.025</f>
        <v>0.24999999999999997</v>
      </c>
      <c r="I122" s="16">
        <f t="shared" si="70"/>
        <v>0.7</v>
      </c>
      <c r="J122" s="16">
        <f>0.3-0.025-0.025</f>
        <v>0.24999999999999997</v>
      </c>
      <c r="K122" s="16">
        <f t="shared" si="71"/>
        <v>0.7</v>
      </c>
      <c r="L122" s="10">
        <v>0.08</v>
      </c>
      <c r="M122" s="10">
        <v>0.08</v>
      </c>
      <c r="N122" s="17"/>
      <c r="O122" s="10" t="str">
        <f t="shared" si="63"/>
        <v xml:space="preserve"> </v>
      </c>
      <c r="P122" s="10" t="str">
        <f t="shared" si="61"/>
        <v xml:space="preserve"> </v>
      </c>
      <c r="Q122" s="10" t="str">
        <f t="shared" si="61"/>
        <v xml:space="preserve"> </v>
      </c>
      <c r="R122" s="10" t="str">
        <f t="shared" si="61"/>
        <v xml:space="preserve"> </v>
      </c>
      <c r="S122" s="10" t="str">
        <f t="shared" si="61"/>
        <v xml:space="preserve"> </v>
      </c>
      <c r="T122" s="10">
        <f t="shared" si="61"/>
        <v>8.24</v>
      </c>
    </row>
    <row r="123" spans="1:20" x14ac:dyDescent="0.35">
      <c r="A123" s="11">
        <v>118</v>
      </c>
      <c r="B123" s="15" t="s">
        <v>32</v>
      </c>
      <c r="C123" s="7" t="s">
        <v>24</v>
      </c>
      <c r="D123" s="7">
        <v>1</v>
      </c>
      <c r="E123" s="7">
        <v>1</v>
      </c>
      <c r="F123" s="13">
        <f>ROUND((I117/2)/0.1+1,0)</f>
        <v>7</v>
      </c>
      <c r="G123" s="10">
        <f t="shared" si="26"/>
        <v>2.06</v>
      </c>
      <c r="H123" s="16">
        <f t="shared" si="72"/>
        <v>0.24999999999999997</v>
      </c>
      <c r="I123" s="16">
        <f t="shared" si="70"/>
        <v>0.7</v>
      </c>
      <c r="J123" s="16">
        <f>0.3-0.025-0.025</f>
        <v>0.24999999999999997</v>
      </c>
      <c r="K123" s="16">
        <f t="shared" si="71"/>
        <v>0.7</v>
      </c>
      <c r="L123" s="10">
        <v>0.08</v>
      </c>
      <c r="M123" s="10">
        <v>0.08</v>
      </c>
      <c r="N123" s="17"/>
      <c r="O123" s="10" t="str">
        <f t="shared" si="63"/>
        <v xml:space="preserve"> </v>
      </c>
      <c r="P123" s="10" t="str">
        <f t="shared" si="61"/>
        <v xml:space="preserve"> </v>
      </c>
      <c r="Q123" s="10" t="str">
        <f t="shared" si="61"/>
        <v xml:space="preserve"> </v>
      </c>
      <c r="R123" s="10" t="str">
        <f t="shared" si="61"/>
        <v xml:space="preserve"> </v>
      </c>
      <c r="S123" s="10" t="str">
        <f t="shared" si="61"/>
        <v xml:space="preserve"> </v>
      </c>
      <c r="T123" s="10">
        <f t="shared" si="61"/>
        <v>14.42</v>
      </c>
    </row>
    <row r="124" spans="1:20" x14ac:dyDescent="0.35">
      <c r="A124" s="11">
        <v>119</v>
      </c>
      <c r="B124" s="15" t="s">
        <v>33</v>
      </c>
      <c r="C124" s="7" t="s">
        <v>23</v>
      </c>
      <c r="D124" s="7">
        <v>1</v>
      </c>
      <c r="E124" s="7">
        <v>1</v>
      </c>
      <c r="F124" s="13">
        <v>2</v>
      </c>
      <c r="G124" s="10">
        <f t="shared" si="26"/>
        <v>2.5999999999999996</v>
      </c>
      <c r="H124" s="16">
        <f t="shared" si="56"/>
        <v>0.7</v>
      </c>
      <c r="I124" s="16">
        <v>1.2</v>
      </c>
      <c r="J124" s="16">
        <f t="shared" ref="J124" si="73">0.75-0.025-0.025</f>
        <v>0.7</v>
      </c>
      <c r="K124" s="16"/>
      <c r="L124" s="10"/>
      <c r="M124" s="10"/>
      <c r="N124" s="17"/>
      <c r="O124" s="10" t="str">
        <f t="shared" si="63"/>
        <v xml:space="preserve"> </v>
      </c>
      <c r="P124" s="10" t="str">
        <f t="shared" si="61"/>
        <v xml:space="preserve"> </v>
      </c>
      <c r="Q124" s="10" t="str">
        <f t="shared" si="61"/>
        <v xml:space="preserve"> </v>
      </c>
      <c r="R124" s="10" t="str">
        <f t="shared" si="61"/>
        <v xml:space="preserve"> </v>
      </c>
      <c r="S124" s="10">
        <f t="shared" si="61"/>
        <v>5.1999999999999993</v>
      </c>
      <c r="T124" s="10" t="str">
        <f t="shared" si="61"/>
        <v xml:space="preserve"> </v>
      </c>
    </row>
    <row r="125" spans="1:20" x14ac:dyDescent="0.35">
      <c r="A125" s="11">
        <v>120</v>
      </c>
      <c r="B125" s="12" t="s">
        <v>51</v>
      </c>
      <c r="C125" s="7"/>
      <c r="D125" s="7"/>
      <c r="E125" s="7"/>
      <c r="F125" s="13"/>
      <c r="G125" s="10"/>
      <c r="H125" s="16"/>
      <c r="I125" s="16"/>
      <c r="J125" s="16"/>
      <c r="K125" s="16"/>
      <c r="L125" s="10"/>
      <c r="M125" s="10"/>
      <c r="N125" s="17"/>
      <c r="O125" s="10" t="str">
        <f t="shared" si="63"/>
        <v xml:space="preserve"> </v>
      </c>
      <c r="P125" s="10" t="str">
        <f t="shared" si="61"/>
        <v xml:space="preserve"> </v>
      </c>
      <c r="Q125" s="10" t="str">
        <f t="shared" si="61"/>
        <v xml:space="preserve"> </v>
      </c>
      <c r="R125" s="10" t="str">
        <f t="shared" si="61"/>
        <v xml:space="preserve"> </v>
      </c>
      <c r="S125" s="10" t="str">
        <f t="shared" si="61"/>
        <v xml:space="preserve"> </v>
      </c>
      <c r="T125" s="10" t="str">
        <f t="shared" si="61"/>
        <v xml:space="preserve"> </v>
      </c>
    </row>
    <row r="126" spans="1:20" x14ac:dyDescent="0.35">
      <c r="A126" s="11">
        <v>121</v>
      </c>
      <c r="B126" s="15" t="s">
        <v>28</v>
      </c>
      <c r="C126" s="7" t="s">
        <v>21</v>
      </c>
      <c r="D126" s="7">
        <v>1</v>
      </c>
      <c r="E126" s="7">
        <v>1</v>
      </c>
      <c r="F126" s="13">
        <v>3</v>
      </c>
      <c r="G126" s="10">
        <f t="shared" si="26"/>
        <v>2.2999999999999998</v>
      </c>
      <c r="H126" s="16">
        <f>0.6-0.025-0.025</f>
        <v>0.54999999999999993</v>
      </c>
      <c r="I126" s="16">
        <v>1.2</v>
      </c>
      <c r="J126" s="16">
        <f>0.6-0.025-0.025</f>
        <v>0.54999999999999993</v>
      </c>
      <c r="K126" s="16"/>
      <c r="L126" s="10"/>
      <c r="M126" s="10"/>
      <c r="N126" s="17"/>
      <c r="O126" s="10" t="str">
        <f t="shared" si="63"/>
        <v xml:space="preserve"> </v>
      </c>
      <c r="P126" s="10" t="str">
        <f t="shared" si="61"/>
        <v xml:space="preserve"> </v>
      </c>
      <c r="Q126" s="10">
        <f t="shared" si="61"/>
        <v>6.8999999999999995</v>
      </c>
      <c r="R126" s="10" t="str">
        <f t="shared" si="61"/>
        <v xml:space="preserve"> </v>
      </c>
      <c r="S126" s="10" t="str">
        <f t="shared" si="61"/>
        <v xml:space="preserve"> </v>
      </c>
      <c r="T126" s="10" t="str">
        <f t="shared" si="61"/>
        <v xml:space="preserve"> </v>
      </c>
    </row>
    <row r="127" spans="1:20" x14ac:dyDescent="0.35">
      <c r="A127" s="11">
        <v>122</v>
      </c>
      <c r="B127" s="15" t="s">
        <v>29</v>
      </c>
      <c r="C127" s="7" t="s">
        <v>21</v>
      </c>
      <c r="D127" s="7">
        <v>1</v>
      </c>
      <c r="E127" s="7">
        <v>1</v>
      </c>
      <c r="F127" s="13">
        <v>3</v>
      </c>
      <c r="G127" s="10">
        <f t="shared" si="26"/>
        <v>2.2999999999999998</v>
      </c>
      <c r="H127" s="16">
        <f>0.6-0.025-0.025</f>
        <v>0.54999999999999993</v>
      </c>
      <c r="I127" s="16">
        <v>1.2</v>
      </c>
      <c r="J127" s="16">
        <f>0.6-0.025-0.025</f>
        <v>0.54999999999999993</v>
      </c>
      <c r="K127" s="16"/>
      <c r="L127" s="10"/>
      <c r="M127" s="10"/>
      <c r="N127" s="17"/>
      <c r="O127" s="10" t="str">
        <f t="shared" si="63"/>
        <v xml:space="preserve"> </v>
      </c>
      <c r="P127" s="10" t="str">
        <f t="shared" si="61"/>
        <v xml:space="preserve"> </v>
      </c>
      <c r="Q127" s="10">
        <f t="shared" si="61"/>
        <v>6.8999999999999995</v>
      </c>
      <c r="R127" s="10" t="str">
        <f t="shared" si="61"/>
        <v xml:space="preserve"> </v>
      </c>
      <c r="S127" s="10" t="str">
        <f t="shared" si="61"/>
        <v xml:space="preserve"> </v>
      </c>
      <c r="T127" s="10" t="str">
        <f t="shared" si="61"/>
        <v xml:space="preserve"> </v>
      </c>
    </row>
    <row r="128" spans="1:20" x14ac:dyDescent="0.35">
      <c r="A128" s="11">
        <v>123</v>
      </c>
      <c r="B128" s="15" t="s">
        <v>30</v>
      </c>
      <c r="C128" s="7" t="s">
        <v>24</v>
      </c>
      <c r="D128" s="7">
        <v>1</v>
      </c>
      <c r="E128" s="7">
        <v>1</v>
      </c>
      <c r="F128" s="13">
        <f>ROUND((I126/4)/0.1+1,0)</f>
        <v>4</v>
      </c>
      <c r="G128" s="10">
        <f t="shared" si="26"/>
        <v>1.7599999999999998</v>
      </c>
      <c r="H128" s="16">
        <f>0.3-0.025-0.025</f>
        <v>0.24999999999999997</v>
      </c>
      <c r="I128" s="16">
        <f>0.6-0.025-0.025</f>
        <v>0.54999999999999993</v>
      </c>
      <c r="J128" s="16">
        <f>0.3-0.025-0.025</f>
        <v>0.24999999999999997</v>
      </c>
      <c r="K128" s="16">
        <f>0.6-0.025-0.025</f>
        <v>0.54999999999999993</v>
      </c>
      <c r="L128" s="10">
        <v>0.08</v>
      </c>
      <c r="M128" s="10">
        <v>0.08</v>
      </c>
      <c r="N128" s="17"/>
      <c r="O128" s="10" t="str">
        <f t="shared" si="63"/>
        <v xml:space="preserve"> </v>
      </c>
      <c r="P128" s="10" t="str">
        <f t="shared" si="61"/>
        <v xml:space="preserve"> </v>
      </c>
      <c r="Q128" s="10" t="str">
        <f t="shared" si="61"/>
        <v xml:space="preserve"> </v>
      </c>
      <c r="R128" s="10" t="str">
        <f t="shared" si="61"/>
        <v xml:space="preserve"> </v>
      </c>
      <c r="S128" s="10" t="str">
        <f t="shared" si="61"/>
        <v xml:space="preserve"> </v>
      </c>
      <c r="T128" s="10">
        <f t="shared" si="61"/>
        <v>7.0399999999999991</v>
      </c>
    </row>
    <row r="129" spans="1:20" x14ac:dyDescent="0.35">
      <c r="A129" s="11">
        <v>124</v>
      </c>
      <c r="B129" s="15" t="s">
        <v>31</v>
      </c>
      <c r="C129" s="7" t="s">
        <v>24</v>
      </c>
      <c r="D129" s="7">
        <v>1</v>
      </c>
      <c r="E129" s="7">
        <v>1</v>
      </c>
      <c r="F129" s="13">
        <f t="shared" ref="F129" si="74">ROUND((I126/4)/0.1+1,0)</f>
        <v>4</v>
      </c>
      <c r="G129" s="10">
        <f t="shared" si="26"/>
        <v>1.7599999999999998</v>
      </c>
      <c r="H129" s="16">
        <f t="shared" ref="H129:H130" si="75">0.3-0.025-0.025</f>
        <v>0.24999999999999997</v>
      </c>
      <c r="I129" s="16">
        <f>0.6-0.025-0.025</f>
        <v>0.54999999999999993</v>
      </c>
      <c r="J129" s="16">
        <f>0.3-0.025-0.025</f>
        <v>0.24999999999999997</v>
      </c>
      <c r="K129" s="16">
        <f>0.6-0.025-0.025</f>
        <v>0.54999999999999993</v>
      </c>
      <c r="L129" s="10">
        <v>0.08</v>
      </c>
      <c r="M129" s="10">
        <v>0.08</v>
      </c>
      <c r="N129" s="17"/>
      <c r="O129" s="10" t="str">
        <f t="shared" si="63"/>
        <v xml:space="preserve"> </v>
      </c>
      <c r="P129" s="10" t="str">
        <f t="shared" si="61"/>
        <v xml:space="preserve"> </v>
      </c>
      <c r="Q129" s="10" t="str">
        <f t="shared" si="61"/>
        <v xml:space="preserve"> </v>
      </c>
      <c r="R129" s="10" t="str">
        <f t="shared" si="61"/>
        <v xml:space="preserve"> </v>
      </c>
      <c r="S129" s="10" t="str">
        <f t="shared" si="61"/>
        <v xml:space="preserve"> </v>
      </c>
      <c r="T129" s="10">
        <f t="shared" si="61"/>
        <v>7.0399999999999991</v>
      </c>
    </row>
    <row r="130" spans="1:20" x14ac:dyDescent="0.35">
      <c r="A130" s="11">
        <v>125</v>
      </c>
      <c r="B130" s="15" t="s">
        <v>32</v>
      </c>
      <c r="C130" s="7" t="s">
        <v>24</v>
      </c>
      <c r="D130" s="7">
        <v>1</v>
      </c>
      <c r="E130" s="7">
        <v>1</v>
      </c>
      <c r="F130" s="13">
        <f>ROUND((I126/2)/0.1+1,0)</f>
        <v>7</v>
      </c>
      <c r="G130" s="10">
        <f t="shared" si="26"/>
        <v>1.7599999999999998</v>
      </c>
      <c r="H130" s="16">
        <f t="shared" si="75"/>
        <v>0.24999999999999997</v>
      </c>
      <c r="I130" s="16">
        <f>0.6-0.025-0.025</f>
        <v>0.54999999999999993</v>
      </c>
      <c r="J130" s="16">
        <f>0.3-0.025-0.025</f>
        <v>0.24999999999999997</v>
      </c>
      <c r="K130" s="16">
        <f>0.6-0.025-0.025</f>
        <v>0.54999999999999993</v>
      </c>
      <c r="L130" s="10">
        <v>0.08</v>
      </c>
      <c r="M130" s="10">
        <v>0.08</v>
      </c>
      <c r="N130" s="17"/>
      <c r="O130" s="10" t="str">
        <f t="shared" si="63"/>
        <v xml:space="preserve"> </v>
      </c>
      <c r="P130" s="10" t="str">
        <f t="shared" si="61"/>
        <v xml:space="preserve"> </v>
      </c>
      <c r="Q130" s="10" t="str">
        <f t="shared" si="61"/>
        <v xml:space="preserve"> </v>
      </c>
      <c r="R130" s="10" t="str">
        <f t="shared" si="61"/>
        <v xml:space="preserve"> </v>
      </c>
      <c r="S130" s="10" t="str">
        <f t="shared" si="61"/>
        <v xml:space="preserve"> </v>
      </c>
      <c r="T130" s="10">
        <f t="shared" si="61"/>
        <v>12.319999999999999</v>
      </c>
    </row>
    <row r="131" spans="1:20" x14ac:dyDescent="0.35">
      <c r="A131" s="11">
        <v>126</v>
      </c>
      <c r="B131" s="12" t="s">
        <v>52</v>
      </c>
      <c r="C131" s="7"/>
      <c r="D131" s="7"/>
      <c r="E131" s="7"/>
      <c r="F131" s="13"/>
      <c r="G131" s="10"/>
      <c r="H131" s="16"/>
      <c r="I131" s="16"/>
      <c r="J131" s="16"/>
      <c r="K131" s="16"/>
      <c r="L131" s="10"/>
      <c r="M131" s="10"/>
      <c r="N131" s="17"/>
      <c r="O131" s="10" t="str">
        <f t="shared" si="63"/>
        <v xml:space="preserve"> </v>
      </c>
      <c r="P131" s="10" t="str">
        <f t="shared" si="61"/>
        <v xml:space="preserve"> </v>
      </c>
      <c r="Q131" s="10" t="str">
        <f t="shared" si="61"/>
        <v xml:space="preserve"> </v>
      </c>
      <c r="R131" s="10" t="str">
        <f t="shared" si="61"/>
        <v xml:space="preserve"> </v>
      </c>
      <c r="S131" s="10" t="str">
        <f t="shared" si="61"/>
        <v xml:space="preserve"> </v>
      </c>
      <c r="T131" s="10" t="str">
        <f t="shared" si="61"/>
        <v xml:space="preserve"> </v>
      </c>
    </row>
    <row r="132" spans="1:20" x14ac:dyDescent="0.35">
      <c r="A132" s="11">
        <v>127</v>
      </c>
      <c r="B132" s="15" t="s">
        <v>28</v>
      </c>
      <c r="C132" s="7" t="s">
        <v>21</v>
      </c>
      <c r="D132" s="7">
        <v>1</v>
      </c>
      <c r="E132" s="7">
        <v>1</v>
      </c>
      <c r="F132" s="13">
        <v>3</v>
      </c>
      <c r="G132" s="10">
        <f t="shared" si="26"/>
        <v>6.1</v>
      </c>
      <c r="H132" s="16">
        <f>0.6-0.025-0.025</f>
        <v>0.54999999999999993</v>
      </c>
      <c r="I132" s="16">
        <v>5</v>
      </c>
      <c r="J132" s="16">
        <f>0.6-0.025-0.025</f>
        <v>0.54999999999999993</v>
      </c>
      <c r="K132" s="16"/>
      <c r="L132" s="10"/>
      <c r="M132" s="10"/>
      <c r="N132" s="17"/>
      <c r="O132" s="10" t="str">
        <f t="shared" si="63"/>
        <v xml:space="preserve"> </v>
      </c>
      <c r="P132" s="10" t="str">
        <f t="shared" si="61"/>
        <v xml:space="preserve"> </v>
      </c>
      <c r="Q132" s="10">
        <f t="shared" si="61"/>
        <v>18.299999999999997</v>
      </c>
      <c r="R132" s="10" t="str">
        <f t="shared" si="61"/>
        <v xml:space="preserve"> </v>
      </c>
      <c r="S132" s="10" t="str">
        <f t="shared" si="61"/>
        <v xml:space="preserve"> </v>
      </c>
      <c r="T132" s="10" t="str">
        <f t="shared" si="61"/>
        <v xml:space="preserve"> </v>
      </c>
    </row>
    <row r="133" spans="1:20" x14ac:dyDescent="0.35">
      <c r="A133" s="11">
        <v>128</v>
      </c>
      <c r="B133" s="15" t="s">
        <v>29</v>
      </c>
      <c r="C133" s="7" t="s">
        <v>21</v>
      </c>
      <c r="D133" s="7">
        <v>1</v>
      </c>
      <c r="E133" s="7">
        <v>1</v>
      </c>
      <c r="F133" s="13">
        <v>3</v>
      </c>
      <c r="G133" s="10">
        <f t="shared" si="26"/>
        <v>6.1</v>
      </c>
      <c r="H133" s="16">
        <f>0.6-0.025-0.025</f>
        <v>0.54999999999999993</v>
      </c>
      <c r="I133" s="16">
        <v>5</v>
      </c>
      <c r="J133" s="16">
        <f>0.6-0.025-0.025</f>
        <v>0.54999999999999993</v>
      </c>
      <c r="K133" s="16"/>
      <c r="L133" s="10"/>
      <c r="M133" s="10"/>
      <c r="N133" s="17"/>
      <c r="O133" s="10" t="str">
        <f t="shared" si="63"/>
        <v xml:space="preserve"> </v>
      </c>
      <c r="P133" s="10" t="str">
        <f t="shared" si="61"/>
        <v xml:space="preserve"> </v>
      </c>
      <c r="Q133" s="10">
        <f t="shared" si="61"/>
        <v>18.299999999999997</v>
      </c>
      <c r="R133" s="10" t="str">
        <f t="shared" si="61"/>
        <v xml:space="preserve"> </v>
      </c>
      <c r="S133" s="10" t="str">
        <f t="shared" si="61"/>
        <v xml:space="preserve"> </v>
      </c>
      <c r="T133" s="10" t="str">
        <f t="shared" si="61"/>
        <v xml:space="preserve"> </v>
      </c>
    </row>
    <row r="134" spans="1:20" x14ac:dyDescent="0.35">
      <c r="A134" s="11">
        <v>129</v>
      </c>
      <c r="B134" s="15" t="s">
        <v>30</v>
      </c>
      <c r="C134" s="7" t="s">
        <v>24</v>
      </c>
      <c r="D134" s="7">
        <v>1</v>
      </c>
      <c r="E134" s="7">
        <v>1</v>
      </c>
      <c r="F134" s="13">
        <f>ROUND((I132/4)/0.1+1,0)</f>
        <v>14</v>
      </c>
      <c r="G134" s="10">
        <f t="shared" si="26"/>
        <v>1.7599999999999998</v>
      </c>
      <c r="H134" s="16">
        <f>0.3-0.025-0.025</f>
        <v>0.24999999999999997</v>
      </c>
      <c r="I134" s="16">
        <f>0.6-0.025-0.025</f>
        <v>0.54999999999999993</v>
      </c>
      <c r="J134" s="16">
        <f>0.3-0.025-0.025</f>
        <v>0.24999999999999997</v>
      </c>
      <c r="K134" s="16">
        <f>0.6-0.025-0.025</f>
        <v>0.54999999999999993</v>
      </c>
      <c r="L134" s="10">
        <v>0.08</v>
      </c>
      <c r="M134" s="10">
        <v>0.08</v>
      </c>
      <c r="N134" s="17"/>
      <c r="O134" s="10" t="str">
        <f t="shared" si="63"/>
        <v xml:space="preserve"> </v>
      </c>
      <c r="P134" s="10" t="str">
        <f t="shared" si="61"/>
        <v xml:space="preserve"> </v>
      </c>
      <c r="Q134" s="10" t="str">
        <f t="shared" si="61"/>
        <v xml:space="preserve"> </v>
      </c>
      <c r="R134" s="10" t="str">
        <f t="shared" si="61"/>
        <v xml:space="preserve"> </v>
      </c>
      <c r="S134" s="10" t="str">
        <f t="shared" si="61"/>
        <v xml:space="preserve"> </v>
      </c>
      <c r="T134" s="10">
        <f t="shared" si="61"/>
        <v>24.639999999999997</v>
      </c>
    </row>
    <row r="135" spans="1:20" x14ac:dyDescent="0.35">
      <c r="A135" s="11">
        <v>130</v>
      </c>
      <c r="B135" s="15" t="s">
        <v>31</v>
      </c>
      <c r="C135" s="7" t="s">
        <v>24</v>
      </c>
      <c r="D135" s="7">
        <v>1</v>
      </c>
      <c r="E135" s="7">
        <v>1</v>
      </c>
      <c r="F135" s="13">
        <f t="shared" ref="F135" si="76">ROUND((I132/4)/0.1+1,0)</f>
        <v>14</v>
      </c>
      <c r="G135" s="10">
        <f t="shared" si="26"/>
        <v>1.7599999999999998</v>
      </c>
      <c r="H135" s="16">
        <f t="shared" ref="H135:H136" si="77">0.3-0.025-0.025</f>
        <v>0.24999999999999997</v>
      </c>
      <c r="I135" s="16">
        <f>0.6-0.025-0.025</f>
        <v>0.54999999999999993</v>
      </c>
      <c r="J135" s="16">
        <f>0.3-0.025-0.025</f>
        <v>0.24999999999999997</v>
      </c>
      <c r="K135" s="16">
        <f>0.6-0.025-0.025</f>
        <v>0.54999999999999993</v>
      </c>
      <c r="L135" s="10">
        <v>0.08</v>
      </c>
      <c r="M135" s="10">
        <v>0.08</v>
      </c>
      <c r="N135" s="17"/>
      <c r="O135" s="10" t="str">
        <f t="shared" si="63"/>
        <v xml:space="preserve"> </v>
      </c>
      <c r="P135" s="10" t="str">
        <f t="shared" si="61"/>
        <v xml:space="preserve"> </v>
      </c>
      <c r="Q135" s="10" t="str">
        <f t="shared" si="61"/>
        <v xml:space="preserve"> </v>
      </c>
      <c r="R135" s="10" t="str">
        <f t="shared" si="61"/>
        <v xml:space="preserve"> </v>
      </c>
      <c r="S135" s="10" t="str">
        <f t="shared" si="61"/>
        <v xml:space="preserve"> </v>
      </c>
      <c r="T135" s="10">
        <f t="shared" si="61"/>
        <v>24.639999999999997</v>
      </c>
    </row>
    <row r="136" spans="1:20" x14ac:dyDescent="0.35">
      <c r="A136" s="11">
        <v>131</v>
      </c>
      <c r="B136" s="15" t="s">
        <v>32</v>
      </c>
      <c r="C136" s="7" t="s">
        <v>24</v>
      </c>
      <c r="D136" s="7">
        <v>1</v>
      </c>
      <c r="E136" s="7">
        <v>1</v>
      </c>
      <c r="F136" s="13">
        <f>ROUND((I132/2)/0.175+1,0)</f>
        <v>15</v>
      </c>
      <c r="G136" s="10">
        <f t="shared" ref="G136:G199" si="78">SUM(H136:N136)</f>
        <v>1.7599999999999998</v>
      </c>
      <c r="H136" s="16">
        <f t="shared" si="77"/>
        <v>0.24999999999999997</v>
      </c>
      <c r="I136" s="16">
        <f>0.6-0.025-0.025</f>
        <v>0.54999999999999993</v>
      </c>
      <c r="J136" s="16">
        <f>0.3-0.025-0.025</f>
        <v>0.24999999999999997</v>
      </c>
      <c r="K136" s="16">
        <f>0.6-0.025-0.025</f>
        <v>0.54999999999999993</v>
      </c>
      <c r="L136" s="10">
        <v>0.08</v>
      </c>
      <c r="M136" s="10">
        <v>0.08</v>
      </c>
      <c r="N136" s="17"/>
      <c r="O136" s="10" t="str">
        <f t="shared" si="63"/>
        <v xml:space="preserve"> </v>
      </c>
      <c r="P136" s="10" t="str">
        <f t="shared" si="61"/>
        <v xml:space="preserve"> </v>
      </c>
      <c r="Q136" s="10" t="str">
        <f t="shared" si="61"/>
        <v xml:space="preserve"> </v>
      </c>
      <c r="R136" s="10" t="str">
        <f t="shared" si="61"/>
        <v xml:space="preserve"> </v>
      </c>
      <c r="S136" s="10" t="str">
        <f t="shared" si="61"/>
        <v xml:space="preserve"> </v>
      </c>
      <c r="T136" s="10">
        <f t="shared" si="61"/>
        <v>26.4</v>
      </c>
    </row>
    <row r="137" spans="1:20" x14ac:dyDescent="0.35">
      <c r="A137" s="11">
        <v>132</v>
      </c>
      <c r="B137" s="12" t="s">
        <v>53</v>
      </c>
      <c r="C137" s="7"/>
      <c r="D137" s="7"/>
      <c r="E137" s="7"/>
      <c r="F137" s="13"/>
      <c r="G137" s="10"/>
      <c r="H137" s="16"/>
      <c r="I137" s="16"/>
      <c r="J137" s="16"/>
      <c r="K137" s="16"/>
      <c r="L137" s="10"/>
      <c r="M137" s="10"/>
      <c r="N137" s="17"/>
      <c r="O137" s="10" t="str">
        <f t="shared" si="63"/>
        <v xml:space="preserve"> </v>
      </c>
      <c r="P137" s="10" t="str">
        <f t="shared" si="61"/>
        <v xml:space="preserve"> </v>
      </c>
      <c r="Q137" s="10" t="str">
        <f t="shared" si="61"/>
        <v xml:space="preserve"> </v>
      </c>
      <c r="R137" s="10" t="str">
        <f t="shared" si="61"/>
        <v xml:space="preserve"> </v>
      </c>
      <c r="S137" s="10" t="str">
        <f t="shared" si="61"/>
        <v xml:space="preserve"> </v>
      </c>
      <c r="T137" s="10" t="str">
        <f t="shared" si="61"/>
        <v xml:space="preserve"> </v>
      </c>
    </row>
    <row r="138" spans="1:20" x14ac:dyDescent="0.35">
      <c r="A138" s="11">
        <v>133</v>
      </c>
      <c r="B138" s="15" t="s">
        <v>28</v>
      </c>
      <c r="C138" s="7" t="s">
        <v>21</v>
      </c>
      <c r="D138" s="7">
        <v>1</v>
      </c>
      <c r="E138" s="7">
        <v>1</v>
      </c>
      <c r="F138" s="13">
        <v>3</v>
      </c>
      <c r="G138" s="10">
        <f t="shared" si="78"/>
        <v>2.2999999999999998</v>
      </c>
      <c r="H138" s="16">
        <f>0.6-0.025-0.025</f>
        <v>0.54999999999999993</v>
      </c>
      <c r="I138" s="16">
        <v>1.2</v>
      </c>
      <c r="J138" s="16">
        <f>0.6-0.025-0.025</f>
        <v>0.54999999999999993</v>
      </c>
      <c r="K138" s="16"/>
      <c r="L138" s="10"/>
      <c r="M138" s="10"/>
      <c r="N138" s="17"/>
      <c r="O138" s="10" t="str">
        <f t="shared" si="63"/>
        <v xml:space="preserve"> </v>
      </c>
      <c r="P138" s="10" t="str">
        <f t="shared" si="61"/>
        <v xml:space="preserve"> </v>
      </c>
      <c r="Q138" s="10">
        <f t="shared" si="61"/>
        <v>6.8999999999999995</v>
      </c>
      <c r="R138" s="10" t="str">
        <f t="shared" si="61"/>
        <v xml:space="preserve"> </v>
      </c>
      <c r="S138" s="10" t="str">
        <f t="shared" si="61"/>
        <v xml:space="preserve"> </v>
      </c>
      <c r="T138" s="10" t="str">
        <f t="shared" si="61"/>
        <v xml:space="preserve"> </v>
      </c>
    </row>
    <row r="139" spans="1:20" x14ac:dyDescent="0.35">
      <c r="A139" s="11">
        <v>134</v>
      </c>
      <c r="B139" s="15" t="s">
        <v>29</v>
      </c>
      <c r="C139" s="7" t="s">
        <v>21</v>
      </c>
      <c r="D139" s="7">
        <v>1</v>
      </c>
      <c r="E139" s="7">
        <v>1</v>
      </c>
      <c r="F139" s="13">
        <v>3</v>
      </c>
      <c r="G139" s="10">
        <f t="shared" si="78"/>
        <v>2.2999999999999998</v>
      </c>
      <c r="H139" s="16">
        <f>0.6-0.025-0.025</f>
        <v>0.54999999999999993</v>
      </c>
      <c r="I139" s="16">
        <v>1.2</v>
      </c>
      <c r="J139" s="16">
        <f>0.6-0.025-0.025</f>
        <v>0.54999999999999993</v>
      </c>
      <c r="K139" s="16"/>
      <c r="L139" s="10"/>
      <c r="M139" s="10"/>
      <c r="N139" s="17"/>
      <c r="O139" s="10" t="str">
        <f t="shared" si="63"/>
        <v xml:space="preserve"> </v>
      </c>
      <c r="P139" s="10" t="str">
        <f t="shared" si="61"/>
        <v xml:space="preserve"> </v>
      </c>
      <c r="Q139" s="10">
        <f t="shared" si="61"/>
        <v>6.8999999999999995</v>
      </c>
      <c r="R139" s="10" t="str">
        <f t="shared" si="61"/>
        <v xml:space="preserve"> </v>
      </c>
      <c r="S139" s="10" t="str">
        <f t="shared" si="61"/>
        <v xml:space="preserve"> </v>
      </c>
      <c r="T139" s="10" t="str">
        <f t="shared" si="61"/>
        <v xml:space="preserve"> </v>
      </c>
    </row>
    <row r="140" spans="1:20" x14ac:dyDescent="0.35">
      <c r="A140" s="11">
        <v>135</v>
      </c>
      <c r="B140" s="15" t="s">
        <v>30</v>
      </c>
      <c r="C140" s="7" t="s">
        <v>24</v>
      </c>
      <c r="D140" s="7">
        <v>1</v>
      </c>
      <c r="E140" s="7">
        <v>1</v>
      </c>
      <c r="F140" s="13">
        <f>ROUND((I138/4)/0.1+1,0)</f>
        <v>4</v>
      </c>
      <c r="G140" s="10">
        <f t="shared" si="78"/>
        <v>1.7599999999999998</v>
      </c>
      <c r="H140" s="16">
        <f>0.3-0.025-0.025</f>
        <v>0.24999999999999997</v>
      </c>
      <c r="I140" s="16">
        <f>0.6-0.025-0.025</f>
        <v>0.54999999999999993</v>
      </c>
      <c r="J140" s="16">
        <f>0.3-0.025-0.025</f>
        <v>0.24999999999999997</v>
      </c>
      <c r="K140" s="16">
        <f>0.6-0.025-0.025</f>
        <v>0.54999999999999993</v>
      </c>
      <c r="L140" s="10">
        <v>0.08</v>
      </c>
      <c r="M140" s="10">
        <v>0.08</v>
      </c>
      <c r="N140" s="17"/>
      <c r="O140" s="10" t="str">
        <f t="shared" si="63"/>
        <v xml:space="preserve"> </v>
      </c>
      <c r="P140" s="10" t="str">
        <f t="shared" si="61"/>
        <v xml:space="preserve"> </v>
      </c>
      <c r="Q140" s="10" t="str">
        <f t="shared" si="61"/>
        <v xml:space="preserve"> </v>
      </c>
      <c r="R140" s="10" t="str">
        <f t="shared" si="61"/>
        <v xml:space="preserve"> </v>
      </c>
      <c r="S140" s="10" t="str">
        <f t="shared" si="61"/>
        <v xml:space="preserve"> </v>
      </c>
      <c r="T140" s="10">
        <f t="shared" si="61"/>
        <v>7.0399999999999991</v>
      </c>
    </row>
    <row r="141" spans="1:20" x14ac:dyDescent="0.35">
      <c r="A141" s="11">
        <v>136</v>
      </c>
      <c r="B141" s="15" t="s">
        <v>31</v>
      </c>
      <c r="C141" s="7" t="s">
        <v>24</v>
      </c>
      <c r="D141" s="7">
        <v>1</v>
      </c>
      <c r="E141" s="7">
        <v>1</v>
      </c>
      <c r="F141" s="13">
        <f t="shared" ref="F141" si="79">ROUND((I138/4)/0.1+1,0)</f>
        <v>4</v>
      </c>
      <c r="G141" s="10">
        <f t="shared" si="78"/>
        <v>1.7599999999999998</v>
      </c>
      <c r="H141" s="16">
        <f t="shared" ref="H141:H142" si="80">0.3-0.025-0.025</f>
        <v>0.24999999999999997</v>
      </c>
      <c r="I141" s="16">
        <f>0.6-0.025-0.025</f>
        <v>0.54999999999999993</v>
      </c>
      <c r="J141" s="16">
        <f>0.3-0.025-0.025</f>
        <v>0.24999999999999997</v>
      </c>
      <c r="K141" s="16">
        <f>0.6-0.025-0.025</f>
        <v>0.54999999999999993</v>
      </c>
      <c r="L141" s="10">
        <v>0.08</v>
      </c>
      <c r="M141" s="10">
        <v>0.08</v>
      </c>
      <c r="N141" s="17"/>
      <c r="O141" s="10" t="str">
        <f t="shared" si="63"/>
        <v xml:space="preserve"> </v>
      </c>
      <c r="P141" s="10" t="str">
        <f t="shared" si="61"/>
        <v xml:space="preserve"> </v>
      </c>
      <c r="Q141" s="10" t="str">
        <f t="shared" si="61"/>
        <v xml:space="preserve"> </v>
      </c>
      <c r="R141" s="10" t="str">
        <f t="shared" si="61"/>
        <v xml:space="preserve"> </v>
      </c>
      <c r="S141" s="10" t="str">
        <f t="shared" si="61"/>
        <v xml:space="preserve"> </v>
      </c>
      <c r="T141" s="10">
        <f t="shared" si="61"/>
        <v>7.0399999999999991</v>
      </c>
    </row>
    <row r="142" spans="1:20" x14ac:dyDescent="0.35">
      <c r="A142" s="11">
        <v>137</v>
      </c>
      <c r="B142" s="15" t="s">
        <v>32</v>
      </c>
      <c r="C142" s="7" t="s">
        <v>24</v>
      </c>
      <c r="D142" s="7">
        <v>1</v>
      </c>
      <c r="E142" s="7">
        <v>1</v>
      </c>
      <c r="F142" s="13">
        <f>ROUND((I138/2)/0.1+1,0)</f>
        <v>7</v>
      </c>
      <c r="G142" s="10">
        <f t="shared" si="78"/>
        <v>1.7599999999999998</v>
      </c>
      <c r="H142" s="16">
        <f t="shared" si="80"/>
        <v>0.24999999999999997</v>
      </c>
      <c r="I142" s="16">
        <f>0.6-0.025-0.025</f>
        <v>0.54999999999999993</v>
      </c>
      <c r="J142" s="16">
        <f>0.3-0.025-0.025</f>
        <v>0.24999999999999997</v>
      </c>
      <c r="K142" s="16">
        <f>0.6-0.025-0.025</f>
        <v>0.54999999999999993</v>
      </c>
      <c r="L142" s="10">
        <v>0.08</v>
      </c>
      <c r="M142" s="10">
        <v>0.08</v>
      </c>
      <c r="N142" s="17"/>
      <c r="O142" s="10" t="str">
        <f t="shared" si="63"/>
        <v xml:space="preserve"> </v>
      </c>
      <c r="P142" s="10" t="str">
        <f t="shared" si="61"/>
        <v xml:space="preserve"> </v>
      </c>
      <c r="Q142" s="10" t="str">
        <f t="shared" si="61"/>
        <v xml:space="preserve"> </v>
      </c>
      <c r="R142" s="10" t="str">
        <f t="shared" si="61"/>
        <v xml:space="preserve"> </v>
      </c>
      <c r="S142" s="10" t="str">
        <f t="shared" si="61"/>
        <v xml:space="preserve"> </v>
      </c>
      <c r="T142" s="10">
        <f t="shared" si="61"/>
        <v>12.319999999999999</v>
      </c>
    </row>
    <row r="143" spans="1:20" x14ac:dyDescent="0.35">
      <c r="A143" s="11">
        <v>138</v>
      </c>
      <c r="B143" s="12" t="s">
        <v>54</v>
      </c>
      <c r="C143" s="7"/>
      <c r="D143" s="7"/>
      <c r="E143" s="7"/>
      <c r="F143" s="13"/>
      <c r="G143" s="10"/>
      <c r="H143" s="16"/>
      <c r="I143" s="16"/>
      <c r="J143" s="16"/>
      <c r="K143" s="16"/>
      <c r="L143" s="10"/>
      <c r="M143" s="10"/>
      <c r="N143" s="17"/>
      <c r="O143" s="10" t="str">
        <f t="shared" si="63"/>
        <v xml:space="preserve"> </v>
      </c>
      <c r="P143" s="10" t="str">
        <f t="shared" si="61"/>
        <v xml:space="preserve"> </v>
      </c>
      <c r="Q143" s="10" t="str">
        <f t="shared" si="61"/>
        <v xml:space="preserve"> </v>
      </c>
      <c r="R143" s="10" t="str">
        <f t="shared" si="61"/>
        <v xml:space="preserve"> </v>
      </c>
      <c r="S143" s="10" t="str">
        <f t="shared" si="61"/>
        <v xml:space="preserve"> </v>
      </c>
      <c r="T143" s="10" t="str">
        <f t="shared" si="61"/>
        <v xml:space="preserve"> </v>
      </c>
    </row>
    <row r="144" spans="1:20" x14ac:dyDescent="0.35">
      <c r="A144" s="11">
        <v>139</v>
      </c>
      <c r="B144" s="15" t="s">
        <v>28</v>
      </c>
      <c r="C144" s="7" t="s">
        <v>22</v>
      </c>
      <c r="D144" s="7">
        <v>2</v>
      </c>
      <c r="E144" s="7">
        <v>1</v>
      </c>
      <c r="F144" s="13">
        <v>3</v>
      </c>
      <c r="G144" s="10">
        <f t="shared" si="78"/>
        <v>6.1</v>
      </c>
      <c r="H144" s="16">
        <f>0.6-0.025-0.025</f>
        <v>0.54999999999999993</v>
      </c>
      <c r="I144" s="16">
        <v>5</v>
      </c>
      <c r="J144" s="16">
        <f>0.6-0.025-0.025</f>
        <v>0.54999999999999993</v>
      </c>
      <c r="K144" s="16"/>
      <c r="L144" s="10"/>
      <c r="M144" s="10"/>
      <c r="N144" s="17"/>
      <c r="O144" s="10" t="str">
        <f t="shared" si="63"/>
        <v xml:space="preserve"> </v>
      </c>
      <c r="P144" s="10" t="str">
        <f t="shared" si="61"/>
        <v xml:space="preserve"> </v>
      </c>
      <c r="Q144" s="10" t="str">
        <f t="shared" si="61"/>
        <v xml:space="preserve"> </v>
      </c>
      <c r="R144" s="10">
        <f t="shared" si="61"/>
        <v>36.599999999999994</v>
      </c>
      <c r="S144" s="10" t="str">
        <f t="shared" si="61"/>
        <v xml:space="preserve"> </v>
      </c>
      <c r="T144" s="10" t="str">
        <f t="shared" si="61"/>
        <v xml:space="preserve"> </v>
      </c>
    </row>
    <row r="145" spans="1:20" x14ac:dyDescent="0.35">
      <c r="A145" s="11">
        <v>140</v>
      </c>
      <c r="B145" s="15" t="s">
        <v>29</v>
      </c>
      <c r="C145" s="7" t="s">
        <v>21</v>
      </c>
      <c r="D145" s="7">
        <v>2</v>
      </c>
      <c r="E145" s="7">
        <v>1</v>
      </c>
      <c r="F145" s="13">
        <v>2</v>
      </c>
      <c r="G145" s="10">
        <f t="shared" si="78"/>
        <v>6.1</v>
      </c>
      <c r="H145" s="16">
        <f>0.6-0.025-0.025</f>
        <v>0.54999999999999993</v>
      </c>
      <c r="I145" s="16">
        <v>5</v>
      </c>
      <c r="J145" s="16">
        <f>0.6-0.025-0.025</f>
        <v>0.54999999999999993</v>
      </c>
      <c r="K145" s="16"/>
      <c r="L145" s="10"/>
      <c r="M145" s="10"/>
      <c r="N145" s="17"/>
      <c r="O145" s="10" t="str">
        <f t="shared" si="63"/>
        <v xml:space="preserve"> </v>
      </c>
      <c r="P145" s="10" t="str">
        <f t="shared" si="61"/>
        <v xml:space="preserve"> </v>
      </c>
      <c r="Q145" s="10">
        <f t="shared" si="61"/>
        <v>24.4</v>
      </c>
      <c r="R145" s="10" t="str">
        <f t="shared" si="61"/>
        <v xml:space="preserve"> </v>
      </c>
      <c r="S145" s="10" t="str">
        <f t="shared" si="61"/>
        <v xml:space="preserve"> </v>
      </c>
      <c r="T145" s="10" t="str">
        <f t="shared" si="61"/>
        <v xml:space="preserve"> </v>
      </c>
    </row>
    <row r="146" spans="1:20" x14ac:dyDescent="0.35">
      <c r="A146" s="11">
        <v>141</v>
      </c>
      <c r="B146" s="15" t="s">
        <v>29</v>
      </c>
      <c r="C146" s="7" t="s">
        <v>22</v>
      </c>
      <c r="D146" s="7">
        <v>2</v>
      </c>
      <c r="E146" s="7">
        <v>1</v>
      </c>
      <c r="F146" s="13">
        <v>1</v>
      </c>
      <c r="G146" s="10">
        <f t="shared" si="78"/>
        <v>6.1</v>
      </c>
      <c r="H146" s="16">
        <f>0.6-0.025-0.025</f>
        <v>0.54999999999999993</v>
      </c>
      <c r="I146" s="16">
        <v>5</v>
      </c>
      <c r="J146" s="16">
        <f>0.6-0.025-0.025</f>
        <v>0.54999999999999993</v>
      </c>
      <c r="K146" s="16"/>
      <c r="L146" s="10"/>
      <c r="M146" s="10"/>
      <c r="N146" s="17"/>
      <c r="O146" s="10" t="str">
        <f t="shared" si="63"/>
        <v xml:space="preserve"> </v>
      </c>
      <c r="P146" s="10" t="str">
        <f t="shared" si="61"/>
        <v xml:space="preserve"> </v>
      </c>
      <c r="Q146" s="10" t="str">
        <f t="shared" si="61"/>
        <v xml:space="preserve"> </v>
      </c>
      <c r="R146" s="10">
        <f t="shared" si="61"/>
        <v>12.2</v>
      </c>
      <c r="S146" s="10" t="str">
        <f t="shared" si="61"/>
        <v xml:space="preserve"> </v>
      </c>
      <c r="T146" s="10" t="str">
        <f t="shared" si="61"/>
        <v xml:space="preserve"> </v>
      </c>
    </row>
    <row r="147" spans="1:20" x14ac:dyDescent="0.35">
      <c r="A147" s="11">
        <v>142</v>
      </c>
      <c r="B147" s="15" t="s">
        <v>30</v>
      </c>
      <c r="C147" s="7" t="s">
        <v>24</v>
      </c>
      <c r="D147" s="7">
        <v>2</v>
      </c>
      <c r="E147" s="7">
        <v>1</v>
      </c>
      <c r="F147" s="13">
        <f>ROUND((I144/4)/0.175+1,0)</f>
        <v>8</v>
      </c>
      <c r="G147" s="10">
        <f t="shared" si="78"/>
        <v>1.7599999999999998</v>
      </c>
      <c r="H147" s="16">
        <f t="shared" ref="H147:H149" si="81">0.3-0.025-0.025</f>
        <v>0.24999999999999997</v>
      </c>
      <c r="I147" s="16">
        <f>0.6-0.025-0.025</f>
        <v>0.54999999999999993</v>
      </c>
      <c r="J147" s="16">
        <f>0.3-0.025-0.025</f>
        <v>0.24999999999999997</v>
      </c>
      <c r="K147" s="16">
        <f>0.6-0.025-0.025</f>
        <v>0.54999999999999993</v>
      </c>
      <c r="L147" s="10">
        <v>0.08</v>
      </c>
      <c r="M147" s="10">
        <v>0.08</v>
      </c>
      <c r="N147" s="17"/>
      <c r="O147" s="10" t="str">
        <f t="shared" si="63"/>
        <v xml:space="preserve"> </v>
      </c>
      <c r="P147" s="10" t="str">
        <f t="shared" si="61"/>
        <v xml:space="preserve"> </v>
      </c>
      <c r="Q147" s="10" t="str">
        <f t="shared" si="61"/>
        <v xml:space="preserve"> </v>
      </c>
      <c r="R147" s="10" t="str">
        <f t="shared" si="61"/>
        <v xml:space="preserve"> </v>
      </c>
      <c r="S147" s="10" t="str">
        <f t="shared" si="61"/>
        <v xml:space="preserve"> </v>
      </c>
      <c r="T147" s="10">
        <f t="shared" si="61"/>
        <v>28.159999999999997</v>
      </c>
    </row>
    <row r="148" spans="1:20" x14ac:dyDescent="0.35">
      <c r="A148" s="11">
        <v>143</v>
      </c>
      <c r="B148" s="15" t="s">
        <v>31</v>
      </c>
      <c r="C148" s="7" t="s">
        <v>24</v>
      </c>
      <c r="D148" s="7">
        <v>2</v>
      </c>
      <c r="E148" s="7">
        <v>1</v>
      </c>
      <c r="F148" s="13">
        <f>ROUND((I144/4)/0.175+1,0)</f>
        <v>8</v>
      </c>
      <c r="G148" s="10">
        <f t="shared" si="78"/>
        <v>1.7599999999999998</v>
      </c>
      <c r="H148" s="16">
        <f t="shared" si="81"/>
        <v>0.24999999999999997</v>
      </c>
      <c r="I148" s="16">
        <f>0.6-0.025-0.025</f>
        <v>0.54999999999999993</v>
      </c>
      <c r="J148" s="16">
        <f>0.3-0.025-0.025</f>
        <v>0.24999999999999997</v>
      </c>
      <c r="K148" s="16">
        <f>0.6-0.025-0.025</f>
        <v>0.54999999999999993</v>
      </c>
      <c r="L148" s="10">
        <v>0.08</v>
      </c>
      <c r="M148" s="10">
        <v>0.08</v>
      </c>
      <c r="N148" s="17"/>
      <c r="O148" s="10" t="str">
        <f t="shared" si="63"/>
        <v xml:space="preserve"> </v>
      </c>
      <c r="P148" s="10" t="str">
        <f t="shared" si="61"/>
        <v xml:space="preserve"> </v>
      </c>
      <c r="Q148" s="10" t="str">
        <f t="shared" si="61"/>
        <v xml:space="preserve"> </v>
      </c>
      <c r="R148" s="10" t="str">
        <f t="shared" si="61"/>
        <v xml:space="preserve"> </v>
      </c>
      <c r="S148" s="10" t="str">
        <f t="shared" si="61"/>
        <v xml:space="preserve"> </v>
      </c>
      <c r="T148" s="10">
        <f t="shared" si="61"/>
        <v>28.159999999999997</v>
      </c>
    </row>
    <row r="149" spans="1:20" x14ac:dyDescent="0.35">
      <c r="A149" s="11">
        <v>144</v>
      </c>
      <c r="B149" s="15" t="s">
        <v>32</v>
      </c>
      <c r="C149" s="7" t="s">
        <v>24</v>
      </c>
      <c r="D149" s="7">
        <v>2</v>
      </c>
      <c r="E149" s="7">
        <v>1</v>
      </c>
      <c r="F149" s="13">
        <f>ROUND((I144/2)/0.175+1,0)</f>
        <v>15</v>
      </c>
      <c r="G149" s="10">
        <f t="shared" si="78"/>
        <v>1.7599999999999998</v>
      </c>
      <c r="H149" s="16">
        <f t="shared" si="81"/>
        <v>0.24999999999999997</v>
      </c>
      <c r="I149" s="16">
        <f>0.6-0.025-0.025</f>
        <v>0.54999999999999993</v>
      </c>
      <c r="J149" s="16">
        <f>0.3-0.025-0.025</f>
        <v>0.24999999999999997</v>
      </c>
      <c r="K149" s="16">
        <f>0.6-0.025-0.025</f>
        <v>0.54999999999999993</v>
      </c>
      <c r="L149" s="10">
        <v>0.08</v>
      </c>
      <c r="M149" s="10">
        <v>0.08</v>
      </c>
      <c r="N149" s="17"/>
      <c r="O149" s="10" t="str">
        <f t="shared" si="63"/>
        <v xml:space="preserve"> </v>
      </c>
      <c r="P149" s="10" t="str">
        <f t="shared" si="61"/>
        <v xml:space="preserve"> </v>
      </c>
      <c r="Q149" s="10" t="str">
        <f t="shared" si="61"/>
        <v xml:space="preserve"> </v>
      </c>
      <c r="R149" s="10" t="str">
        <f t="shared" si="61"/>
        <v xml:space="preserve"> </v>
      </c>
      <c r="S149" s="10" t="str">
        <f t="shared" si="61"/>
        <v xml:space="preserve"> </v>
      </c>
      <c r="T149" s="10">
        <f t="shared" si="61"/>
        <v>52.8</v>
      </c>
    </row>
    <row r="150" spans="1:20" x14ac:dyDescent="0.35">
      <c r="A150" s="11">
        <v>145</v>
      </c>
      <c r="B150" s="12" t="s">
        <v>55</v>
      </c>
      <c r="C150" s="7"/>
      <c r="D150" s="7"/>
      <c r="E150" s="7"/>
      <c r="F150" s="13"/>
      <c r="G150" s="10"/>
      <c r="H150" s="16"/>
      <c r="I150" s="16"/>
      <c r="J150" s="16"/>
      <c r="K150" s="16"/>
      <c r="L150" s="10"/>
      <c r="M150" s="10"/>
      <c r="N150" s="17"/>
      <c r="O150" s="10" t="str">
        <f t="shared" si="63"/>
        <v xml:space="preserve"> </v>
      </c>
      <c r="P150" s="10" t="str">
        <f t="shared" si="61"/>
        <v xml:space="preserve"> </v>
      </c>
      <c r="Q150" s="10" t="str">
        <f t="shared" si="61"/>
        <v xml:space="preserve"> </v>
      </c>
      <c r="R150" s="10" t="str">
        <f t="shared" si="61"/>
        <v xml:space="preserve"> </v>
      </c>
      <c r="S150" s="10" t="str">
        <f t="shared" si="61"/>
        <v xml:space="preserve"> </v>
      </c>
      <c r="T150" s="10" t="str">
        <f t="shared" si="61"/>
        <v xml:space="preserve"> </v>
      </c>
    </row>
    <row r="151" spans="1:20" x14ac:dyDescent="0.35">
      <c r="A151" s="11">
        <v>146</v>
      </c>
      <c r="B151" s="15" t="s">
        <v>28</v>
      </c>
      <c r="C151" s="7" t="s">
        <v>21</v>
      </c>
      <c r="D151" s="7">
        <v>1</v>
      </c>
      <c r="E151" s="7">
        <v>1</v>
      </c>
      <c r="F151" s="13">
        <v>3</v>
      </c>
      <c r="G151" s="10">
        <f t="shared" si="78"/>
        <v>2.2000000000000002</v>
      </c>
      <c r="H151" s="16">
        <f>0.55-0.025-0.025</f>
        <v>0.5</v>
      </c>
      <c r="I151" s="16">
        <v>1.2</v>
      </c>
      <c r="J151" s="16">
        <f>0.55-0.025-0.025</f>
        <v>0.5</v>
      </c>
      <c r="K151" s="16"/>
      <c r="L151" s="10"/>
      <c r="M151" s="10"/>
      <c r="N151" s="17"/>
      <c r="O151" s="10" t="str">
        <f t="shared" si="63"/>
        <v xml:space="preserve"> </v>
      </c>
      <c r="P151" s="10" t="str">
        <f t="shared" si="61"/>
        <v xml:space="preserve"> </v>
      </c>
      <c r="Q151" s="10">
        <f t="shared" si="61"/>
        <v>6.6000000000000005</v>
      </c>
      <c r="R151" s="10" t="str">
        <f t="shared" si="61"/>
        <v xml:space="preserve"> </v>
      </c>
      <c r="S151" s="10" t="str">
        <f t="shared" si="61"/>
        <v xml:space="preserve"> </v>
      </c>
      <c r="T151" s="10" t="str">
        <f t="shared" si="61"/>
        <v xml:space="preserve"> </v>
      </c>
    </row>
    <row r="152" spans="1:20" x14ac:dyDescent="0.35">
      <c r="A152" s="11">
        <v>147</v>
      </c>
      <c r="B152" s="15" t="s">
        <v>40</v>
      </c>
      <c r="C152" s="7" t="s">
        <v>21</v>
      </c>
      <c r="D152" s="7">
        <v>1</v>
      </c>
      <c r="E152" s="7">
        <v>1</v>
      </c>
      <c r="F152" s="13">
        <v>2</v>
      </c>
      <c r="G152" s="10">
        <f t="shared" si="78"/>
        <v>1.3</v>
      </c>
      <c r="H152" s="16">
        <f t="shared" ref="H152:K156" si="82">0.55-0.025-0.025</f>
        <v>0.5</v>
      </c>
      <c r="I152" s="16">
        <f>I151/4</f>
        <v>0.3</v>
      </c>
      <c r="J152" s="16">
        <f t="shared" si="82"/>
        <v>0.5</v>
      </c>
      <c r="K152" s="16"/>
      <c r="L152" s="10"/>
      <c r="M152" s="10"/>
      <c r="N152" s="17"/>
      <c r="O152" s="10" t="str">
        <f t="shared" si="63"/>
        <v xml:space="preserve"> </v>
      </c>
      <c r="P152" s="10" t="str">
        <f t="shared" si="61"/>
        <v xml:space="preserve"> </v>
      </c>
      <c r="Q152" s="10">
        <f t="shared" si="61"/>
        <v>2.6</v>
      </c>
      <c r="R152" s="10" t="str">
        <f t="shared" si="61"/>
        <v xml:space="preserve"> </v>
      </c>
      <c r="S152" s="10" t="str">
        <f t="shared" si="61"/>
        <v xml:space="preserve"> </v>
      </c>
      <c r="T152" s="10" t="str">
        <f t="shared" si="61"/>
        <v xml:space="preserve"> </v>
      </c>
    </row>
    <row r="153" spans="1:20" x14ac:dyDescent="0.35">
      <c r="A153" s="11">
        <v>148</v>
      </c>
      <c r="B153" s="15" t="s">
        <v>29</v>
      </c>
      <c r="C153" s="7" t="s">
        <v>21</v>
      </c>
      <c r="D153" s="7">
        <v>1</v>
      </c>
      <c r="E153" s="7">
        <v>1</v>
      </c>
      <c r="F153" s="13">
        <v>3</v>
      </c>
      <c r="G153" s="10">
        <f t="shared" si="78"/>
        <v>2.2000000000000002</v>
      </c>
      <c r="H153" s="16">
        <f t="shared" si="82"/>
        <v>0.5</v>
      </c>
      <c r="I153" s="16">
        <v>1.2</v>
      </c>
      <c r="J153" s="16">
        <f t="shared" si="82"/>
        <v>0.5</v>
      </c>
      <c r="K153" s="16"/>
      <c r="L153" s="10"/>
      <c r="M153" s="10"/>
      <c r="N153" s="17"/>
      <c r="O153" s="10" t="str">
        <f t="shared" si="63"/>
        <v xml:space="preserve"> </v>
      </c>
      <c r="P153" s="10" t="str">
        <f t="shared" si="61"/>
        <v xml:space="preserve"> </v>
      </c>
      <c r="Q153" s="10">
        <f t="shared" si="61"/>
        <v>6.6000000000000005</v>
      </c>
      <c r="R153" s="10" t="str">
        <f t="shared" si="61"/>
        <v xml:space="preserve"> </v>
      </c>
      <c r="S153" s="10" t="str">
        <f t="shared" si="61"/>
        <v xml:space="preserve"> </v>
      </c>
      <c r="T153" s="10" t="str">
        <f t="shared" si="61"/>
        <v xml:space="preserve"> </v>
      </c>
    </row>
    <row r="154" spans="1:20" x14ac:dyDescent="0.35">
      <c r="A154" s="11">
        <v>149</v>
      </c>
      <c r="B154" s="15" t="s">
        <v>30</v>
      </c>
      <c r="C154" s="7" t="s">
        <v>24</v>
      </c>
      <c r="D154" s="7">
        <v>1</v>
      </c>
      <c r="E154" s="7">
        <v>1</v>
      </c>
      <c r="F154" s="13">
        <f>ROUND((I151/4)/0.1+1,0)</f>
        <v>4</v>
      </c>
      <c r="G154" s="10">
        <f t="shared" si="78"/>
        <v>1.6600000000000001</v>
      </c>
      <c r="H154" s="16">
        <f t="shared" ref="H154:H156" si="83">0.3-0.025-0.025</f>
        <v>0.24999999999999997</v>
      </c>
      <c r="I154" s="16">
        <f>0.55-0.025-0.025</f>
        <v>0.5</v>
      </c>
      <c r="J154" s="16">
        <f>0.3-0.025-0.025</f>
        <v>0.24999999999999997</v>
      </c>
      <c r="K154" s="16">
        <f>0.55-0.025-0.025</f>
        <v>0.5</v>
      </c>
      <c r="L154" s="10">
        <v>0.08</v>
      </c>
      <c r="M154" s="10">
        <v>0.08</v>
      </c>
      <c r="N154" s="17"/>
      <c r="O154" s="10" t="str">
        <f t="shared" si="63"/>
        <v xml:space="preserve"> </v>
      </c>
      <c r="P154" s="10" t="str">
        <f t="shared" si="61"/>
        <v xml:space="preserve"> </v>
      </c>
      <c r="Q154" s="10" t="str">
        <f t="shared" si="61"/>
        <v xml:space="preserve"> </v>
      </c>
      <c r="R154" s="10" t="str">
        <f t="shared" si="61"/>
        <v xml:space="preserve"> </v>
      </c>
      <c r="S154" s="10" t="str">
        <f t="shared" si="61"/>
        <v xml:space="preserve"> </v>
      </c>
      <c r="T154" s="10">
        <f t="shared" si="61"/>
        <v>6.6400000000000006</v>
      </c>
    </row>
    <row r="155" spans="1:20" x14ac:dyDescent="0.35">
      <c r="A155" s="11">
        <v>150</v>
      </c>
      <c r="B155" s="15" t="s">
        <v>31</v>
      </c>
      <c r="C155" s="7" t="s">
        <v>24</v>
      </c>
      <c r="D155" s="7">
        <v>1</v>
      </c>
      <c r="E155" s="7">
        <v>1</v>
      </c>
      <c r="F155" s="13">
        <f>ROUND((I151/4)/0.1+1,0)</f>
        <v>4</v>
      </c>
      <c r="G155" s="10">
        <f t="shared" si="78"/>
        <v>1.6600000000000001</v>
      </c>
      <c r="H155" s="16">
        <f t="shared" si="83"/>
        <v>0.24999999999999997</v>
      </c>
      <c r="I155" s="16">
        <f t="shared" ref="I155:I156" si="84">0.55-0.025-0.025</f>
        <v>0.5</v>
      </c>
      <c r="J155" s="16">
        <f>0.3-0.025-0.025</f>
        <v>0.24999999999999997</v>
      </c>
      <c r="K155" s="16">
        <f t="shared" si="82"/>
        <v>0.5</v>
      </c>
      <c r="L155" s="10">
        <v>0.08</v>
      </c>
      <c r="M155" s="10">
        <v>0.08</v>
      </c>
      <c r="N155" s="17"/>
      <c r="O155" s="10" t="str">
        <f t="shared" si="63"/>
        <v xml:space="preserve"> </v>
      </c>
      <c r="P155" s="10" t="str">
        <f t="shared" si="61"/>
        <v xml:space="preserve"> </v>
      </c>
      <c r="Q155" s="10" t="str">
        <f t="shared" si="61"/>
        <v xml:space="preserve"> </v>
      </c>
      <c r="R155" s="10" t="str">
        <f t="shared" si="61"/>
        <v xml:space="preserve"> </v>
      </c>
      <c r="S155" s="10" t="str">
        <f t="shared" si="61"/>
        <v xml:space="preserve"> </v>
      </c>
      <c r="T155" s="10">
        <f t="shared" si="61"/>
        <v>6.6400000000000006</v>
      </c>
    </row>
    <row r="156" spans="1:20" x14ac:dyDescent="0.35">
      <c r="A156" s="11">
        <v>151</v>
      </c>
      <c r="B156" s="15" t="s">
        <v>32</v>
      </c>
      <c r="C156" s="7" t="s">
        <v>24</v>
      </c>
      <c r="D156" s="7">
        <v>1</v>
      </c>
      <c r="E156" s="7">
        <v>1</v>
      </c>
      <c r="F156" s="13">
        <f>ROUND((I151/2)/0.1+1,0)</f>
        <v>7</v>
      </c>
      <c r="G156" s="10">
        <f t="shared" si="78"/>
        <v>1.6600000000000001</v>
      </c>
      <c r="H156" s="16">
        <f t="shared" si="83"/>
        <v>0.24999999999999997</v>
      </c>
      <c r="I156" s="16">
        <f t="shared" si="84"/>
        <v>0.5</v>
      </c>
      <c r="J156" s="16">
        <f>0.3-0.025-0.025</f>
        <v>0.24999999999999997</v>
      </c>
      <c r="K156" s="16">
        <f t="shared" si="82"/>
        <v>0.5</v>
      </c>
      <c r="L156" s="10">
        <v>0.08</v>
      </c>
      <c r="M156" s="10">
        <v>0.08</v>
      </c>
      <c r="N156" s="17"/>
      <c r="O156" s="10" t="str">
        <f t="shared" si="63"/>
        <v xml:space="preserve"> </v>
      </c>
      <c r="P156" s="10" t="str">
        <f t="shared" si="61"/>
        <v xml:space="preserve"> </v>
      </c>
      <c r="Q156" s="10" t="str">
        <f t="shared" si="61"/>
        <v xml:space="preserve"> </v>
      </c>
      <c r="R156" s="10" t="str">
        <f t="shared" ref="P156:T207" si="85">IF($C156=R$4,$D156*$E156*$F156*$G156," ")</f>
        <v xml:space="preserve"> </v>
      </c>
      <c r="S156" s="10" t="str">
        <f t="shared" si="85"/>
        <v xml:space="preserve"> </v>
      </c>
      <c r="T156" s="10">
        <f t="shared" si="85"/>
        <v>11.620000000000001</v>
      </c>
    </row>
    <row r="157" spans="1:20" x14ac:dyDescent="0.35">
      <c r="A157" s="11">
        <v>152</v>
      </c>
      <c r="B157" s="12" t="s">
        <v>56</v>
      </c>
      <c r="C157" s="7"/>
      <c r="D157" s="7"/>
      <c r="E157" s="7"/>
      <c r="F157" s="13"/>
      <c r="G157" s="10"/>
      <c r="H157" s="16"/>
      <c r="I157" s="16"/>
      <c r="J157" s="16"/>
      <c r="K157" s="16"/>
      <c r="L157" s="10"/>
      <c r="M157" s="10"/>
      <c r="N157" s="17"/>
      <c r="O157" s="10" t="str">
        <f t="shared" si="63"/>
        <v xml:space="preserve"> </v>
      </c>
      <c r="P157" s="10" t="str">
        <f t="shared" si="85"/>
        <v xml:space="preserve"> </v>
      </c>
      <c r="Q157" s="10" t="str">
        <f t="shared" si="85"/>
        <v xml:space="preserve"> </v>
      </c>
      <c r="R157" s="10" t="str">
        <f t="shared" si="85"/>
        <v xml:space="preserve"> </v>
      </c>
      <c r="S157" s="10" t="str">
        <f t="shared" si="85"/>
        <v xml:space="preserve"> </v>
      </c>
      <c r="T157" s="10" t="str">
        <f t="shared" si="85"/>
        <v xml:space="preserve"> </v>
      </c>
    </row>
    <row r="158" spans="1:20" x14ac:dyDescent="0.35">
      <c r="A158" s="11">
        <v>153</v>
      </c>
      <c r="B158" s="15" t="s">
        <v>28</v>
      </c>
      <c r="C158" s="7" t="s">
        <v>21</v>
      </c>
      <c r="D158" s="7">
        <v>1</v>
      </c>
      <c r="E158" s="7">
        <v>1</v>
      </c>
      <c r="F158" s="13">
        <v>3</v>
      </c>
      <c r="G158" s="10">
        <f t="shared" si="78"/>
        <v>6</v>
      </c>
      <c r="H158" s="16">
        <f>0.55-0.025-0.025</f>
        <v>0.5</v>
      </c>
      <c r="I158" s="16">
        <v>5</v>
      </c>
      <c r="J158" s="16">
        <f>0.55-0.025-0.025</f>
        <v>0.5</v>
      </c>
      <c r="K158" s="16"/>
      <c r="L158" s="10"/>
      <c r="M158" s="10"/>
      <c r="N158" s="17"/>
      <c r="O158" s="10" t="str">
        <f t="shared" si="63"/>
        <v xml:space="preserve"> </v>
      </c>
      <c r="P158" s="10" t="str">
        <f t="shared" si="85"/>
        <v xml:space="preserve"> </v>
      </c>
      <c r="Q158" s="10">
        <f t="shared" si="85"/>
        <v>18</v>
      </c>
      <c r="R158" s="10" t="str">
        <f t="shared" si="85"/>
        <v xml:space="preserve"> </v>
      </c>
      <c r="S158" s="10" t="str">
        <f t="shared" si="85"/>
        <v xml:space="preserve"> </v>
      </c>
      <c r="T158" s="10" t="str">
        <f t="shared" si="85"/>
        <v xml:space="preserve"> </v>
      </c>
    </row>
    <row r="159" spans="1:20" x14ac:dyDescent="0.35">
      <c r="A159" s="11">
        <v>154</v>
      </c>
      <c r="B159" s="15" t="s">
        <v>40</v>
      </c>
      <c r="C159" s="7" t="s">
        <v>21</v>
      </c>
      <c r="D159" s="7">
        <v>1</v>
      </c>
      <c r="E159" s="7">
        <v>1</v>
      </c>
      <c r="F159" s="13">
        <v>2</v>
      </c>
      <c r="G159" s="10">
        <f t="shared" si="78"/>
        <v>2.25</v>
      </c>
      <c r="H159" s="16">
        <f t="shared" ref="H159:H161" si="86">0.55-0.025-0.025</f>
        <v>0.5</v>
      </c>
      <c r="I159" s="16">
        <f>I158/4</f>
        <v>1.25</v>
      </c>
      <c r="J159" s="16">
        <f>0.55-0.025-0.025</f>
        <v>0.5</v>
      </c>
      <c r="K159" s="16"/>
      <c r="L159" s="10"/>
      <c r="M159" s="10"/>
      <c r="N159" s="17"/>
      <c r="O159" s="10" t="str">
        <f t="shared" si="63"/>
        <v xml:space="preserve"> </v>
      </c>
      <c r="P159" s="10" t="str">
        <f t="shared" si="85"/>
        <v xml:space="preserve"> </v>
      </c>
      <c r="Q159" s="10">
        <f t="shared" si="85"/>
        <v>4.5</v>
      </c>
      <c r="R159" s="10" t="str">
        <f t="shared" si="85"/>
        <v xml:space="preserve"> </v>
      </c>
      <c r="S159" s="10" t="str">
        <f t="shared" si="85"/>
        <v xml:space="preserve"> </v>
      </c>
      <c r="T159" s="10" t="str">
        <f t="shared" si="85"/>
        <v xml:space="preserve"> </v>
      </c>
    </row>
    <row r="160" spans="1:20" x14ac:dyDescent="0.35">
      <c r="A160" s="11">
        <v>155</v>
      </c>
      <c r="B160" s="15" t="s">
        <v>38</v>
      </c>
      <c r="C160" s="7" t="s">
        <v>21</v>
      </c>
      <c r="D160" s="7">
        <v>1</v>
      </c>
      <c r="E160" s="7">
        <v>1</v>
      </c>
      <c r="F160" s="13">
        <v>2</v>
      </c>
      <c r="G160" s="10">
        <f t="shared" si="78"/>
        <v>2.25</v>
      </c>
      <c r="H160" s="16">
        <f t="shared" si="86"/>
        <v>0.5</v>
      </c>
      <c r="I160" s="16">
        <f>I158/4</f>
        <v>1.25</v>
      </c>
      <c r="J160" s="16">
        <f t="shared" ref="J160:J161" si="87">0.55-0.025-0.025</f>
        <v>0.5</v>
      </c>
      <c r="K160" s="16"/>
      <c r="L160" s="10"/>
      <c r="M160" s="10"/>
      <c r="N160" s="17"/>
      <c r="O160" s="10" t="str">
        <f t="shared" si="63"/>
        <v xml:space="preserve"> </v>
      </c>
      <c r="P160" s="10" t="str">
        <f t="shared" si="85"/>
        <v xml:space="preserve"> </v>
      </c>
      <c r="Q160" s="10">
        <f t="shared" si="85"/>
        <v>4.5</v>
      </c>
      <c r="R160" s="10" t="str">
        <f t="shared" si="85"/>
        <v xml:space="preserve"> </v>
      </c>
      <c r="S160" s="10" t="str">
        <f t="shared" si="85"/>
        <v xml:space="preserve"> </v>
      </c>
      <c r="T160" s="10" t="str">
        <f t="shared" si="85"/>
        <v xml:space="preserve"> </v>
      </c>
    </row>
    <row r="161" spans="1:20" x14ac:dyDescent="0.35">
      <c r="A161" s="11">
        <v>156</v>
      </c>
      <c r="B161" s="15" t="s">
        <v>29</v>
      </c>
      <c r="C161" s="7" t="s">
        <v>21</v>
      </c>
      <c r="D161" s="7">
        <v>1</v>
      </c>
      <c r="E161" s="7">
        <v>1</v>
      </c>
      <c r="F161" s="13">
        <v>3</v>
      </c>
      <c r="G161" s="10">
        <f t="shared" si="78"/>
        <v>6</v>
      </c>
      <c r="H161" s="16">
        <f t="shared" si="86"/>
        <v>0.5</v>
      </c>
      <c r="I161" s="16">
        <v>5</v>
      </c>
      <c r="J161" s="16">
        <f t="shared" si="87"/>
        <v>0.5</v>
      </c>
      <c r="K161" s="16"/>
      <c r="L161" s="10"/>
      <c r="M161" s="10"/>
      <c r="N161" s="17"/>
      <c r="O161" s="10" t="str">
        <f t="shared" si="63"/>
        <v xml:space="preserve"> </v>
      </c>
      <c r="P161" s="10" t="str">
        <f t="shared" si="85"/>
        <v xml:space="preserve"> </v>
      </c>
      <c r="Q161" s="10">
        <f t="shared" si="85"/>
        <v>18</v>
      </c>
      <c r="R161" s="10" t="str">
        <f t="shared" si="85"/>
        <v xml:space="preserve"> </v>
      </c>
      <c r="S161" s="10" t="str">
        <f t="shared" si="85"/>
        <v xml:space="preserve"> </v>
      </c>
      <c r="T161" s="10" t="str">
        <f t="shared" si="85"/>
        <v xml:space="preserve"> </v>
      </c>
    </row>
    <row r="162" spans="1:20" x14ac:dyDescent="0.35">
      <c r="A162" s="11">
        <v>157</v>
      </c>
      <c r="B162" s="15" t="s">
        <v>30</v>
      </c>
      <c r="C162" s="7" t="s">
        <v>24</v>
      </c>
      <c r="D162" s="7">
        <v>1</v>
      </c>
      <c r="E162" s="7">
        <v>1</v>
      </c>
      <c r="F162" s="13">
        <f>ROUND((I158/4)/0.1+1,0)</f>
        <v>14</v>
      </c>
      <c r="G162" s="10">
        <f t="shared" si="78"/>
        <v>1.6600000000000001</v>
      </c>
      <c r="H162" s="16">
        <f t="shared" ref="H162:H164" si="88">0.3-0.025-0.025</f>
        <v>0.24999999999999997</v>
      </c>
      <c r="I162" s="16">
        <f>0.55-0.025-0.025</f>
        <v>0.5</v>
      </c>
      <c r="J162" s="16">
        <f>0.3-0.025-0.025</f>
        <v>0.24999999999999997</v>
      </c>
      <c r="K162" s="16">
        <f>0.55-0.025-0.025</f>
        <v>0.5</v>
      </c>
      <c r="L162" s="10">
        <v>0.08</v>
      </c>
      <c r="M162" s="10">
        <v>0.08</v>
      </c>
      <c r="N162" s="17"/>
      <c r="O162" s="10" t="str">
        <f t="shared" si="63"/>
        <v xml:space="preserve"> </v>
      </c>
      <c r="P162" s="10" t="str">
        <f t="shared" si="85"/>
        <v xml:space="preserve"> </v>
      </c>
      <c r="Q162" s="10" t="str">
        <f t="shared" si="85"/>
        <v xml:space="preserve"> </v>
      </c>
      <c r="R162" s="10" t="str">
        <f t="shared" si="85"/>
        <v xml:space="preserve"> </v>
      </c>
      <c r="S162" s="10" t="str">
        <f t="shared" si="85"/>
        <v xml:space="preserve"> </v>
      </c>
      <c r="T162" s="10">
        <f t="shared" si="85"/>
        <v>23.240000000000002</v>
      </c>
    </row>
    <row r="163" spans="1:20" x14ac:dyDescent="0.35">
      <c r="A163" s="11">
        <v>158</v>
      </c>
      <c r="B163" s="15" t="s">
        <v>31</v>
      </c>
      <c r="C163" s="7" t="s">
        <v>24</v>
      </c>
      <c r="D163" s="7">
        <v>1</v>
      </c>
      <c r="E163" s="7">
        <v>1</v>
      </c>
      <c r="F163" s="13">
        <f>ROUND((I158/4)/0.1+1,0)</f>
        <v>14</v>
      </c>
      <c r="G163" s="10">
        <f t="shared" si="78"/>
        <v>1.6600000000000001</v>
      </c>
      <c r="H163" s="16">
        <f t="shared" si="88"/>
        <v>0.24999999999999997</v>
      </c>
      <c r="I163" s="16">
        <f t="shared" ref="I163:I164" si="89">0.55-0.025-0.025</f>
        <v>0.5</v>
      </c>
      <c r="J163" s="16">
        <f>0.3-0.025-0.025</f>
        <v>0.24999999999999997</v>
      </c>
      <c r="K163" s="16">
        <f t="shared" ref="K163:K164" si="90">0.55-0.025-0.025</f>
        <v>0.5</v>
      </c>
      <c r="L163" s="10">
        <v>0.08</v>
      </c>
      <c r="M163" s="10">
        <v>0.08</v>
      </c>
      <c r="N163" s="17"/>
      <c r="O163" s="10" t="str">
        <f t="shared" si="63"/>
        <v xml:space="preserve"> </v>
      </c>
      <c r="P163" s="10" t="str">
        <f t="shared" si="85"/>
        <v xml:space="preserve"> </v>
      </c>
      <c r="Q163" s="10" t="str">
        <f t="shared" si="85"/>
        <v xml:space="preserve"> </v>
      </c>
      <c r="R163" s="10" t="str">
        <f t="shared" si="85"/>
        <v xml:space="preserve"> </v>
      </c>
      <c r="S163" s="10" t="str">
        <f t="shared" si="85"/>
        <v xml:space="preserve"> </v>
      </c>
      <c r="T163" s="10">
        <f t="shared" si="85"/>
        <v>23.240000000000002</v>
      </c>
    </row>
    <row r="164" spans="1:20" x14ac:dyDescent="0.35">
      <c r="A164" s="11">
        <v>159</v>
      </c>
      <c r="B164" s="15" t="s">
        <v>32</v>
      </c>
      <c r="C164" s="7" t="s">
        <v>24</v>
      </c>
      <c r="D164" s="7">
        <v>1</v>
      </c>
      <c r="E164" s="7">
        <v>1</v>
      </c>
      <c r="F164" s="13">
        <f>ROUND((I158/2)/0.175+1,0)</f>
        <v>15</v>
      </c>
      <c r="G164" s="10">
        <f t="shared" si="78"/>
        <v>1.6600000000000001</v>
      </c>
      <c r="H164" s="16">
        <f t="shared" si="88"/>
        <v>0.24999999999999997</v>
      </c>
      <c r="I164" s="16">
        <f t="shared" si="89"/>
        <v>0.5</v>
      </c>
      <c r="J164" s="16">
        <f>0.3-0.025-0.025</f>
        <v>0.24999999999999997</v>
      </c>
      <c r="K164" s="16">
        <f t="shared" si="90"/>
        <v>0.5</v>
      </c>
      <c r="L164" s="10">
        <v>0.08</v>
      </c>
      <c r="M164" s="10">
        <v>0.08</v>
      </c>
      <c r="N164" s="17"/>
      <c r="O164" s="10" t="str">
        <f t="shared" si="63"/>
        <v xml:space="preserve"> </v>
      </c>
      <c r="P164" s="10" t="str">
        <f t="shared" si="85"/>
        <v xml:space="preserve"> </v>
      </c>
      <c r="Q164" s="10" t="str">
        <f t="shared" si="85"/>
        <v xml:space="preserve"> </v>
      </c>
      <c r="R164" s="10" t="str">
        <f t="shared" si="85"/>
        <v xml:space="preserve"> </v>
      </c>
      <c r="S164" s="10" t="str">
        <f t="shared" si="85"/>
        <v xml:space="preserve"> </v>
      </c>
      <c r="T164" s="10">
        <f t="shared" si="85"/>
        <v>24.900000000000002</v>
      </c>
    </row>
    <row r="165" spans="1:20" x14ac:dyDescent="0.35">
      <c r="A165" s="11">
        <v>160</v>
      </c>
      <c r="B165" s="12" t="s">
        <v>57</v>
      </c>
      <c r="C165" s="7"/>
      <c r="D165" s="7"/>
      <c r="E165" s="7"/>
      <c r="F165" s="13"/>
      <c r="G165" s="10"/>
      <c r="H165" s="16"/>
      <c r="I165" s="16"/>
      <c r="J165" s="16"/>
      <c r="K165" s="16"/>
      <c r="L165" s="10"/>
      <c r="M165" s="10"/>
      <c r="N165" s="17"/>
      <c r="O165" s="10" t="str">
        <f t="shared" si="63"/>
        <v xml:space="preserve"> </v>
      </c>
      <c r="P165" s="10" t="str">
        <f t="shared" si="85"/>
        <v xml:space="preserve"> </v>
      </c>
      <c r="Q165" s="10" t="str">
        <f t="shared" si="85"/>
        <v xml:space="preserve"> </v>
      </c>
      <c r="R165" s="10" t="str">
        <f t="shared" si="85"/>
        <v xml:space="preserve"> </v>
      </c>
      <c r="S165" s="10" t="str">
        <f t="shared" si="85"/>
        <v xml:space="preserve"> </v>
      </c>
      <c r="T165" s="10" t="str">
        <f t="shared" si="85"/>
        <v xml:space="preserve"> </v>
      </c>
    </row>
    <row r="166" spans="1:20" x14ac:dyDescent="0.35">
      <c r="A166" s="11">
        <v>161</v>
      </c>
      <c r="B166" s="15" t="s">
        <v>28</v>
      </c>
      <c r="C166" s="7" t="s">
        <v>21</v>
      </c>
      <c r="D166" s="7">
        <v>1</v>
      </c>
      <c r="E166" s="7">
        <v>1</v>
      </c>
      <c r="F166" s="13">
        <v>3</v>
      </c>
      <c r="G166" s="10">
        <f t="shared" si="78"/>
        <v>2.2000000000000002</v>
      </c>
      <c r="H166" s="16">
        <f>0.55-0.025-0.025</f>
        <v>0.5</v>
      </c>
      <c r="I166" s="16">
        <v>1.2</v>
      </c>
      <c r="J166" s="16">
        <f>0.55-0.025-0.025</f>
        <v>0.5</v>
      </c>
      <c r="K166" s="16"/>
      <c r="L166" s="10"/>
      <c r="M166" s="10"/>
      <c r="N166" s="17"/>
      <c r="O166" s="10" t="str">
        <f t="shared" si="63"/>
        <v xml:space="preserve"> </v>
      </c>
      <c r="P166" s="10" t="str">
        <f t="shared" si="85"/>
        <v xml:space="preserve"> </v>
      </c>
      <c r="Q166" s="10">
        <f t="shared" si="85"/>
        <v>6.6000000000000005</v>
      </c>
      <c r="R166" s="10" t="str">
        <f t="shared" si="85"/>
        <v xml:space="preserve"> </v>
      </c>
      <c r="S166" s="10" t="str">
        <f t="shared" si="85"/>
        <v xml:space="preserve"> </v>
      </c>
      <c r="T166" s="10" t="str">
        <f t="shared" si="85"/>
        <v xml:space="preserve"> </v>
      </c>
    </row>
    <row r="167" spans="1:20" x14ac:dyDescent="0.35">
      <c r="A167" s="11">
        <v>162</v>
      </c>
      <c r="B167" s="15" t="s">
        <v>38</v>
      </c>
      <c r="C167" s="7" t="s">
        <v>21</v>
      </c>
      <c r="D167" s="7">
        <v>1</v>
      </c>
      <c r="E167" s="7">
        <v>1</v>
      </c>
      <c r="F167" s="13">
        <v>2</v>
      </c>
      <c r="G167" s="10">
        <f t="shared" si="78"/>
        <v>1.3</v>
      </c>
      <c r="H167" s="16">
        <f t="shared" ref="H167:H168" si="91">0.55-0.025-0.025</f>
        <v>0.5</v>
      </c>
      <c r="I167" s="16">
        <f>I166/4</f>
        <v>0.3</v>
      </c>
      <c r="J167" s="16">
        <f t="shared" ref="J167:J168" si="92">0.55-0.025-0.025</f>
        <v>0.5</v>
      </c>
      <c r="K167" s="16"/>
      <c r="L167" s="10"/>
      <c r="M167" s="10"/>
      <c r="N167" s="17"/>
      <c r="O167" s="10" t="str">
        <f t="shared" si="63"/>
        <v xml:space="preserve"> </v>
      </c>
      <c r="P167" s="10" t="str">
        <f t="shared" si="85"/>
        <v xml:space="preserve"> </v>
      </c>
      <c r="Q167" s="10">
        <f t="shared" si="85"/>
        <v>2.6</v>
      </c>
      <c r="R167" s="10" t="str">
        <f t="shared" si="85"/>
        <v xml:space="preserve"> </v>
      </c>
      <c r="S167" s="10" t="str">
        <f t="shared" si="85"/>
        <v xml:space="preserve"> </v>
      </c>
      <c r="T167" s="10" t="str">
        <f t="shared" si="85"/>
        <v xml:space="preserve"> </v>
      </c>
    </row>
    <row r="168" spans="1:20" x14ac:dyDescent="0.35">
      <c r="A168" s="11">
        <v>163</v>
      </c>
      <c r="B168" s="15" t="s">
        <v>29</v>
      </c>
      <c r="C168" s="7" t="s">
        <v>21</v>
      </c>
      <c r="D168" s="7">
        <v>1</v>
      </c>
      <c r="E168" s="7">
        <v>1</v>
      </c>
      <c r="F168" s="13">
        <v>3</v>
      </c>
      <c r="G168" s="10">
        <f t="shared" si="78"/>
        <v>2.2000000000000002</v>
      </c>
      <c r="H168" s="16">
        <f t="shared" si="91"/>
        <v>0.5</v>
      </c>
      <c r="I168" s="16">
        <v>1.2</v>
      </c>
      <c r="J168" s="16">
        <f t="shared" si="92"/>
        <v>0.5</v>
      </c>
      <c r="K168" s="16"/>
      <c r="L168" s="10"/>
      <c r="M168" s="10"/>
      <c r="N168" s="17"/>
      <c r="O168" s="10" t="str">
        <f t="shared" si="63"/>
        <v xml:space="preserve"> </v>
      </c>
      <c r="P168" s="10" t="str">
        <f t="shared" si="85"/>
        <v xml:space="preserve"> </v>
      </c>
      <c r="Q168" s="10">
        <f t="shared" si="85"/>
        <v>6.6000000000000005</v>
      </c>
      <c r="R168" s="10" t="str">
        <f t="shared" si="85"/>
        <v xml:space="preserve"> </v>
      </c>
      <c r="S168" s="10" t="str">
        <f t="shared" si="85"/>
        <v xml:space="preserve"> </v>
      </c>
      <c r="T168" s="10" t="str">
        <f t="shared" si="85"/>
        <v xml:space="preserve"> </v>
      </c>
    </row>
    <row r="169" spans="1:20" x14ac:dyDescent="0.35">
      <c r="A169" s="11">
        <v>164</v>
      </c>
      <c r="B169" s="15" t="s">
        <v>30</v>
      </c>
      <c r="C169" s="7" t="s">
        <v>24</v>
      </c>
      <c r="D169" s="7">
        <v>1</v>
      </c>
      <c r="E169" s="7">
        <v>1</v>
      </c>
      <c r="F169" s="13">
        <f>ROUND((I166/4)/0.1+1,0)</f>
        <v>4</v>
      </c>
      <c r="G169" s="10">
        <f t="shared" si="78"/>
        <v>1.6600000000000001</v>
      </c>
      <c r="H169" s="16">
        <f t="shared" ref="H169:H171" si="93">0.3-0.025-0.025</f>
        <v>0.24999999999999997</v>
      </c>
      <c r="I169" s="16">
        <f>0.55-0.025-0.025</f>
        <v>0.5</v>
      </c>
      <c r="J169" s="16">
        <f>0.3-0.025-0.025</f>
        <v>0.24999999999999997</v>
      </c>
      <c r="K169" s="16">
        <f>0.55-0.025-0.025</f>
        <v>0.5</v>
      </c>
      <c r="L169" s="10">
        <v>0.08</v>
      </c>
      <c r="M169" s="10">
        <v>0.08</v>
      </c>
      <c r="N169" s="17"/>
      <c r="O169" s="10" t="str">
        <f t="shared" si="63"/>
        <v xml:space="preserve"> </v>
      </c>
      <c r="P169" s="10" t="str">
        <f t="shared" si="85"/>
        <v xml:space="preserve"> </v>
      </c>
      <c r="Q169" s="10" t="str">
        <f t="shared" si="85"/>
        <v xml:space="preserve"> </v>
      </c>
      <c r="R169" s="10" t="str">
        <f t="shared" si="85"/>
        <v xml:space="preserve"> </v>
      </c>
      <c r="S169" s="10" t="str">
        <f t="shared" si="85"/>
        <v xml:space="preserve"> </v>
      </c>
      <c r="T169" s="10">
        <f t="shared" si="85"/>
        <v>6.6400000000000006</v>
      </c>
    </row>
    <row r="170" spans="1:20" x14ac:dyDescent="0.35">
      <c r="A170" s="11">
        <v>165</v>
      </c>
      <c r="B170" s="15" t="s">
        <v>31</v>
      </c>
      <c r="C170" s="7" t="s">
        <v>24</v>
      </c>
      <c r="D170" s="7">
        <v>1</v>
      </c>
      <c r="E170" s="7">
        <v>1</v>
      </c>
      <c r="F170" s="13">
        <f>ROUND((I166/4)/0.1+1,0)</f>
        <v>4</v>
      </c>
      <c r="G170" s="10">
        <f t="shared" si="78"/>
        <v>1.6600000000000001</v>
      </c>
      <c r="H170" s="16">
        <f t="shared" si="93"/>
        <v>0.24999999999999997</v>
      </c>
      <c r="I170" s="16">
        <f t="shared" ref="I170:I171" si="94">0.55-0.025-0.025</f>
        <v>0.5</v>
      </c>
      <c r="J170" s="16">
        <f>0.3-0.025-0.025</f>
        <v>0.24999999999999997</v>
      </c>
      <c r="K170" s="16">
        <f t="shared" ref="K170:K171" si="95">0.55-0.025-0.025</f>
        <v>0.5</v>
      </c>
      <c r="L170" s="10">
        <v>0.08</v>
      </c>
      <c r="M170" s="10">
        <v>0.08</v>
      </c>
      <c r="N170" s="17"/>
      <c r="O170" s="10" t="str">
        <f t="shared" ref="O170:O233" si="96">IF($C170=O$4,$D170*$E170*$F170*$G170," ")</f>
        <v xml:space="preserve"> </v>
      </c>
      <c r="P170" s="10" t="str">
        <f t="shared" si="85"/>
        <v xml:space="preserve"> </v>
      </c>
      <c r="Q170" s="10" t="str">
        <f t="shared" si="85"/>
        <v xml:space="preserve"> </v>
      </c>
      <c r="R170" s="10" t="str">
        <f t="shared" si="85"/>
        <v xml:space="preserve"> </v>
      </c>
      <c r="S170" s="10" t="str">
        <f t="shared" si="85"/>
        <v xml:space="preserve"> </v>
      </c>
      <c r="T170" s="10">
        <f t="shared" si="85"/>
        <v>6.6400000000000006</v>
      </c>
    </row>
    <row r="171" spans="1:20" x14ac:dyDescent="0.35">
      <c r="A171" s="11">
        <v>166</v>
      </c>
      <c r="B171" s="15" t="s">
        <v>32</v>
      </c>
      <c r="C171" s="7" t="s">
        <v>24</v>
      </c>
      <c r="D171" s="7">
        <v>1</v>
      </c>
      <c r="E171" s="7">
        <v>1</v>
      </c>
      <c r="F171" s="13">
        <f>ROUND((I166/2)/0.1+1,0)</f>
        <v>7</v>
      </c>
      <c r="G171" s="10">
        <f t="shared" si="78"/>
        <v>1.6600000000000001</v>
      </c>
      <c r="H171" s="16">
        <f t="shared" si="93"/>
        <v>0.24999999999999997</v>
      </c>
      <c r="I171" s="16">
        <f t="shared" si="94"/>
        <v>0.5</v>
      </c>
      <c r="J171" s="16">
        <f>0.3-0.025-0.025</f>
        <v>0.24999999999999997</v>
      </c>
      <c r="K171" s="16">
        <f t="shared" si="95"/>
        <v>0.5</v>
      </c>
      <c r="L171" s="10">
        <v>0.08</v>
      </c>
      <c r="M171" s="10">
        <v>0.08</v>
      </c>
      <c r="N171" s="17"/>
      <c r="O171" s="10" t="str">
        <f t="shared" si="96"/>
        <v xml:space="preserve"> </v>
      </c>
      <c r="P171" s="10" t="str">
        <f t="shared" si="85"/>
        <v xml:space="preserve"> </v>
      </c>
      <c r="Q171" s="10" t="str">
        <f t="shared" si="85"/>
        <v xml:space="preserve"> </v>
      </c>
      <c r="R171" s="10" t="str">
        <f t="shared" si="85"/>
        <v xml:space="preserve"> </v>
      </c>
      <c r="S171" s="10" t="str">
        <f t="shared" si="85"/>
        <v xml:space="preserve"> </v>
      </c>
      <c r="T171" s="10">
        <f t="shared" si="85"/>
        <v>11.620000000000001</v>
      </c>
    </row>
    <row r="172" spans="1:20" x14ac:dyDescent="0.35">
      <c r="A172" s="11">
        <v>167</v>
      </c>
      <c r="B172" s="12" t="s">
        <v>58</v>
      </c>
      <c r="C172" s="7"/>
      <c r="D172" s="7"/>
      <c r="E172" s="7"/>
      <c r="F172" s="13"/>
      <c r="G172" s="10"/>
      <c r="H172" s="16"/>
      <c r="I172" s="16"/>
      <c r="J172" s="16"/>
      <c r="K172" s="16"/>
      <c r="L172" s="10"/>
      <c r="M172" s="10"/>
      <c r="N172" s="17"/>
      <c r="O172" s="10" t="str">
        <f t="shared" si="96"/>
        <v xml:space="preserve"> </v>
      </c>
      <c r="P172" s="10" t="str">
        <f t="shared" si="85"/>
        <v xml:space="preserve"> </v>
      </c>
      <c r="Q172" s="10" t="str">
        <f t="shared" si="85"/>
        <v xml:space="preserve"> </v>
      </c>
      <c r="R172" s="10" t="str">
        <f t="shared" si="85"/>
        <v xml:space="preserve"> </v>
      </c>
      <c r="S172" s="10" t="str">
        <f t="shared" si="85"/>
        <v xml:space="preserve"> </v>
      </c>
      <c r="T172" s="10" t="str">
        <f t="shared" si="85"/>
        <v xml:space="preserve"> </v>
      </c>
    </row>
    <row r="173" spans="1:20" x14ac:dyDescent="0.35">
      <c r="A173" s="11">
        <v>168</v>
      </c>
      <c r="B173" s="15" t="s">
        <v>28</v>
      </c>
      <c r="C173" s="7" t="s">
        <v>21</v>
      </c>
      <c r="D173" s="7">
        <v>2</v>
      </c>
      <c r="E173" s="7">
        <v>1</v>
      </c>
      <c r="F173" s="13">
        <v>2</v>
      </c>
      <c r="G173" s="10">
        <f t="shared" si="78"/>
        <v>6</v>
      </c>
      <c r="H173" s="16">
        <f>0.55-0.025-0.025</f>
        <v>0.5</v>
      </c>
      <c r="I173" s="16">
        <v>5</v>
      </c>
      <c r="J173" s="16">
        <f>0.55-0.025-0.025</f>
        <v>0.5</v>
      </c>
      <c r="K173" s="16"/>
      <c r="L173" s="10"/>
      <c r="M173" s="10"/>
      <c r="N173" s="17"/>
      <c r="O173" s="10" t="str">
        <f t="shared" si="96"/>
        <v xml:space="preserve"> </v>
      </c>
      <c r="P173" s="10" t="str">
        <f t="shared" si="85"/>
        <v xml:space="preserve"> </v>
      </c>
      <c r="Q173" s="10">
        <f t="shared" si="85"/>
        <v>24</v>
      </c>
      <c r="R173" s="10" t="str">
        <f t="shared" si="85"/>
        <v xml:space="preserve"> </v>
      </c>
      <c r="S173" s="10" t="str">
        <f t="shared" si="85"/>
        <v xml:space="preserve"> </v>
      </c>
      <c r="T173" s="10" t="str">
        <f t="shared" si="85"/>
        <v xml:space="preserve"> </v>
      </c>
    </row>
    <row r="174" spans="1:20" x14ac:dyDescent="0.35">
      <c r="A174" s="11">
        <v>169</v>
      </c>
      <c r="B174" s="15" t="s">
        <v>28</v>
      </c>
      <c r="C174" s="7" t="s">
        <v>22</v>
      </c>
      <c r="D174" s="7">
        <v>2</v>
      </c>
      <c r="E174" s="7">
        <v>1</v>
      </c>
      <c r="F174" s="13">
        <v>1</v>
      </c>
      <c r="G174" s="10">
        <f t="shared" si="78"/>
        <v>6</v>
      </c>
      <c r="H174" s="16">
        <f t="shared" ref="H174:H176" si="97">0.55-0.025-0.025</f>
        <v>0.5</v>
      </c>
      <c r="I174" s="16">
        <v>5</v>
      </c>
      <c r="J174" s="16">
        <f>0.55-0.025-0.025</f>
        <v>0.5</v>
      </c>
      <c r="K174" s="16"/>
      <c r="L174" s="10"/>
      <c r="M174" s="10"/>
      <c r="N174" s="17"/>
      <c r="O174" s="10" t="str">
        <f t="shared" si="96"/>
        <v xml:space="preserve"> </v>
      </c>
      <c r="P174" s="10" t="str">
        <f t="shared" si="85"/>
        <v xml:space="preserve"> </v>
      </c>
      <c r="Q174" s="10" t="str">
        <f t="shared" si="85"/>
        <v xml:space="preserve"> </v>
      </c>
      <c r="R174" s="10">
        <f t="shared" si="85"/>
        <v>12</v>
      </c>
      <c r="S174" s="10" t="str">
        <f t="shared" si="85"/>
        <v xml:space="preserve"> </v>
      </c>
      <c r="T174" s="10" t="str">
        <f t="shared" si="85"/>
        <v xml:space="preserve"> </v>
      </c>
    </row>
    <row r="175" spans="1:20" x14ac:dyDescent="0.35">
      <c r="A175" s="11">
        <v>170</v>
      </c>
      <c r="B175" s="15" t="s">
        <v>29</v>
      </c>
      <c r="C175" s="7" t="s">
        <v>21</v>
      </c>
      <c r="D175" s="7">
        <v>2</v>
      </c>
      <c r="E175" s="7">
        <v>1</v>
      </c>
      <c r="F175" s="13">
        <v>2</v>
      </c>
      <c r="G175" s="10">
        <f t="shared" si="78"/>
        <v>6</v>
      </c>
      <c r="H175" s="16">
        <f t="shared" si="97"/>
        <v>0.5</v>
      </c>
      <c r="I175" s="16">
        <v>5</v>
      </c>
      <c r="J175" s="16">
        <f t="shared" ref="J175:J176" si="98">0.55-0.025-0.025</f>
        <v>0.5</v>
      </c>
      <c r="K175" s="16"/>
      <c r="L175" s="10"/>
      <c r="M175" s="10"/>
      <c r="N175" s="17"/>
      <c r="O175" s="10" t="str">
        <f t="shared" si="96"/>
        <v xml:space="preserve"> </v>
      </c>
      <c r="P175" s="10" t="str">
        <f t="shared" si="85"/>
        <v xml:space="preserve"> </v>
      </c>
      <c r="Q175" s="10">
        <f t="shared" si="85"/>
        <v>24</v>
      </c>
      <c r="R175" s="10" t="str">
        <f t="shared" si="85"/>
        <v xml:space="preserve"> </v>
      </c>
      <c r="S175" s="10" t="str">
        <f t="shared" si="85"/>
        <v xml:space="preserve"> </v>
      </c>
      <c r="T175" s="10" t="str">
        <f t="shared" si="85"/>
        <v xml:space="preserve"> </v>
      </c>
    </row>
    <row r="176" spans="1:20" x14ac:dyDescent="0.35">
      <c r="A176" s="11">
        <v>171</v>
      </c>
      <c r="B176" s="15" t="s">
        <v>29</v>
      </c>
      <c r="C176" s="7" t="s">
        <v>22</v>
      </c>
      <c r="D176" s="7">
        <v>2</v>
      </c>
      <c r="E176" s="7">
        <v>1</v>
      </c>
      <c r="F176" s="13">
        <v>1</v>
      </c>
      <c r="G176" s="10">
        <f t="shared" si="78"/>
        <v>6</v>
      </c>
      <c r="H176" s="16">
        <f t="shared" si="97"/>
        <v>0.5</v>
      </c>
      <c r="I176" s="16">
        <v>5</v>
      </c>
      <c r="J176" s="16">
        <f t="shared" si="98"/>
        <v>0.5</v>
      </c>
      <c r="K176" s="16"/>
      <c r="L176" s="10"/>
      <c r="M176" s="10"/>
      <c r="N176" s="17"/>
      <c r="O176" s="10" t="str">
        <f t="shared" si="96"/>
        <v xml:space="preserve"> </v>
      </c>
      <c r="P176" s="10" t="str">
        <f t="shared" si="85"/>
        <v xml:space="preserve"> </v>
      </c>
      <c r="Q176" s="10" t="str">
        <f t="shared" si="85"/>
        <v xml:space="preserve"> </v>
      </c>
      <c r="R176" s="10">
        <f t="shared" si="85"/>
        <v>12</v>
      </c>
      <c r="S176" s="10" t="str">
        <f t="shared" si="85"/>
        <v xml:space="preserve"> </v>
      </c>
      <c r="T176" s="10" t="str">
        <f t="shared" si="85"/>
        <v xml:space="preserve"> </v>
      </c>
    </row>
    <row r="177" spans="1:20" x14ac:dyDescent="0.35">
      <c r="A177" s="11">
        <v>172</v>
      </c>
      <c r="B177" s="15" t="s">
        <v>30</v>
      </c>
      <c r="C177" s="7" t="s">
        <v>24</v>
      </c>
      <c r="D177" s="7">
        <v>2</v>
      </c>
      <c r="E177" s="7">
        <v>1</v>
      </c>
      <c r="F177" s="13">
        <f>ROUND((I173/4)/0.125+1,0)</f>
        <v>11</v>
      </c>
      <c r="G177" s="10">
        <f t="shared" si="78"/>
        <v>1.6600000000000001</v>
      </c>
      <c r="H177" s="16">
        <f t="shared" ref="H177:H179" si="99">0.3-0.025-0.025</f>
        <v>0.24999999999999997</v>
      </c>
      <c r="I177" s="16">
        <f>0.55-0.025-0.025</f>
        <v>0.5</v>
      </c>
      <c r="J177" s="16">
        <f>0.3-0.025-0.025</f>
        <v>0.24999999999999997</v>
      </c>
      <c r="K177" s="16">
        <f>0.55-0.025-0.025</f>
        <v>0.5</v>
      </c>
      <c r="L177" s="10">
        <v>0.08</v>
      </c>
      <c r="M177" s="10">
        <v>0.08</v>
      </c>
      <c r="N177" s="17"/>
      <c r="O177" s="10" t="str">
        <f t="shared" si="96"/>
        <v xml:space="preserve"> </v>
      </c>
      <c r="P177" s="10" t="str">
        <f t="shared" si="85"/>
        <v xml:space="preserve"> </v>
      </c>
      <c r="Q177" s="10" t="str">
        <f t="shared" si="85"/>
        <v xml:space="preserve"> </v>
      </c>
      <c r="R177" s="10" t="str">
        <f t="shared" si="85"/>
        <v xml:space="preserve"> </v>
      </c>
      <c r="S177" s="10" t="str">
        <f t="shared" si="85"/>
        <v xml:space="preserve"> </v>
      </c>
      <c r="T177" s="10">
        <f t="shared" si="85"/>
        <v>36.520000000000003</v>
      </c>
    </row>
    <row r="178" spans="1:20" x14ac:dyDescent="0.35">
      <c r="A178" s="11">
        <v>173</v>
      </c>
      <c r="B178" s="15" t="s">
        <v>31</v>
      </c>
      <c r="C178" s="7" t="s">
        <v>24</v>
      </c>
      <c r="D178" s="7">
        <v>2</v>
      </c>
      <c r="E178" s="7">
        <v>1</v>
      </c>
      <c r="F178" s="13">
        <f>ROUND((I173/4)/0.125+1,0)</f>
        <v>11</v>
      </c>
      <c r="G178" s="10">
        <f t="shared" si="78"/>
        <v>1.6600000000000001</v>
      </c>
      <c r="H178" s="16">
        <f t="shared" si="99"/>
        <v>0.24999999999999997</v>
      </c>
      <c r="I178" s="16">
        <f t="shared" ref="I178:I179" si="100">0.55-0.025-0.025</f>
        <v>0.5</v>
      </c>
      <c r="J178" s="16">
        <f>0.3-0.025-0.025</f>
        <v>0.24999999999999997</v>
      </c>
      <c r="K178" s="16">
        <f t="shared" ref="K178:K179" si="101">0.55-0.025-0.025</f>
        <v>0.5</v>
      </c>
      <c r="L178" s="10">
        <v>0.08</v>
      </c>
      <c r="M178" s="10">
        <v>0.08</v>
      </c>
      <c r="N178" s="17"/>
      <c r="O178" s="10" t="str">
        <f t="shared" si="96"/>
        <v xml:space="preserve"> </v>
      </c>
      <c r="P178" s="10" t="str">
        <f t="shared" si="85"/>
        <v xml:space="preserve"> </v>
      </c>
      <c r="Q178" s="10" t="str">
        <f t="shared" si="85"/>
        <v xml:space="preserve"> </v>
      </c>
      <c r="R178" s="10" t="str">
        <f t="shared" si="85"/>
        <v xml:space="preserve"> </v>
      </c>
      <c r="S178" s="10" t="str">
        <f t="shared" si="85"/>
        <v xml:space="preserve"> </v>
      </c>
      <c r="T178" s="10">
        <f t="shared" si="85"/>
        <v>36.520000000000003</v>
      </c>
    </row>
    <row r="179" spans="1:20" x14ac:dyDescent="0.35">
      <c r="A179" s="11">
        <v>174</v>
      </c>
      <c r="B179" s="15" t="s">
        <v>32</v>
      </c>
      <c r="C179" s="7" t="s">
        <v>24</v>
      </c>
      <c r="D179" s="7">
        <v>2</v>
      </c>
      <c r="E179" s="7">
        <v>1</v>
      </c>
      <c r="F179" s="13">
        <f>ROUND((I173/2)/0.15+1,0)</f>
        <v>18</v>
      </c>
      <c r="G179" s="10">
        <f t="shared" si="78"/>
        <v>1.6600000000000001</v>
      </c>
      <c r="H179" s="16">
        <f t="shared" si="99"/>
        <v>0.24999999999999997</v>
      </c>
      <c r="I179" s="16">
        <f t="shared" si="100"/>
        <v>0.5</v>
      </c>
      <c r="J179" s="16">
        <f>0.3-0.025-0.025</f>
        <v>0.24999999999999997</v>
      </c>
      <c r="K179" s="16">
        <f t="shared" si="101"/>
        <v>0.5</v>
      </c>
      <c r="L179" s="10">
        <v>0.08</v>
      </c>
      <c r="M179" s="10">
        <v>0.08</v>
      </c>
      <c r="N179" s="17"/>
      <c r="O179" s="10" t="str">
        <f t="shared" si="96"/>
        <v xml:space="preserve"> </v>
      </c>
      <c r="P179" s="10" t="str">
        <f t="shared" si="85"/>
        <v xml:space="preserve"> </v>
      </c>
      <c r="Q179" s="10" t="str">
        <f t="shared" si="85"/>
        <v xml:space="preserve"> </v>
      </c>
      <c r="R179" s="10" t="str">
        <f t="shared" si="85"/>
        <v xml:space="preserve"> </v>
      </c>
      <c r="S179" s="10" t="str">
        <f t="shared" si="85"/>
        <v xml:space="preserve"> </v>
      </c>
      <c r="T179" s="10">
        <f t="shared" si="85"/>
        <v>59.760000000000005</v>
      </c>
    </row>
    <row r="180" spans="1:20" x14ac:dyDescent="0.35">
      <c r="A180" s="11">
        <v>175</v>
      </c>
      <c r="B180" s="12" t="s">
        <v>59</v>
      </c>
      <c r="C180" s="7"/>
      <c r="D180" s="7"/>
      <c r="E180" s="7"/>
      <c r="F180" s="13"/>
      <c r="G180" s="10"/>
      <c r="H180" s="16"/>
      <c r="I180" s="16"/>
      <c r="J180" s="16"/>
      <c r="K180" s="16"/>
      <c r="L180" s="10"/>
      <c r="M180" s="10"/>
      <c r="N180" s="17"/>
      <c r="O180" s="10" t="str">
        <f t="shared" si="96"/>
        <v xml:space="preserve"> </v>
      </c>
      <c r="P180" s="10" t="str">
        <f t="shared" si="85"/>
        <v xml:space="preserve"> </v>
      </c>
      <c r="Q180" s="10" t="str">
        <f t="shared" si="85"/>
        <v xml:space="preserve"> </v>
      </c>
      <c r="R180" s="10" t="str">
        <f t="shared" si="85"/>
        <v xml:space="preserve"> </v>
      </c>
      <c r="S180" s="10" t="str">
        <f t="shared" si="85"/>
        <v xml:space="preserve"> </v>
      </c>
      <c r="T180" s="10" t="str">
        <f t="shared" si="85"/>
        <v xml:space="preserve"> </v>
      </c>
    </row>
    <row r="181" spans="1:20" x14ac:dyDescent="0.35">
      <c r="A181" s="11">
        <v>176</v>
      </c>
      <c r="B181" s="15" t="s">
        <v>28</v>
      </c>
      <c r="C181" s="7" t="s">
        <v>21</v>
      </c>
      <c r="D181" s="7">
        <v>1</v>
      </c>
      <c r="E181" s="7">
        <v>1</v>
      </c>
      <c r="F181" s="13">
        <v>3</v>
      </c>
      <c r="G181" s="10">
        <f t="shared" si="78"/>
        <v>2.2000000000000002</v>
      </c>
      <c r="H181" s="16">
        <f>0.55-0.025-0.025</f>
        <v>0.5</v>
      </c>
      <c r="I181" s="16">
        <v>1.2</v>
      </c>
      <c r="J181" s="16">
        <f>0.55-0.025-0.025</f>
        <v>0.5</v>
      </c>
      <c r="K181" s="16"/>
      <c r="L181" s="10"/>
      <c r="M181" s="10"/>
      <c r="N181" s="17"/>
      <c r="O181" s="10" t="str">
        <f t="shared" si="96"/>
        <v xml:space="preserve"> </v>
      </c>
      <c r="P181" s="10" t="str">
        <f t="shared" si="85"/>
        <v xml:space="preserve"> </v>
      </c>
      <c r="Q181" s="10">
        <f t="shared" si="85"/>
        <v>6.6000000000000005</v>
      </c>
      <c r="R181" s="10" t="str">
        <f t="shared" si="85"/>
        <v xml:space="preserve"> </v>
      </c>
      <c r="S181" s="10" t="str">
        <f t="shared" si="85"/>
        <v xml:space="preserve"> </v>
      </c>
      <c r="T181" s="10" t="str">
        <f t="shared" si="85"/>
        <v xml:space="preserve"> </v>
      </c>
    </row>
    <row r="182" spans="1:20" x14ac:dyDescent="0.35">
      <c r="A182" s="11">
        <v>177</v>
      </c>
      <c r="B182" s="15" t="s">
        <v>60</v>
      </c>
      <c r="C182" s="7" t="s">
        <v>21</v>
      </c>
      <c r="D182" s="7">
        <v>1</v>
      </c>
      <c r="E182" s="7">
        <v>1</v>
      </c>
      <c r="F182" s="13">
        <v>2</v>
      </c>
      <c r="G182" s="10">
        <f t="shared" si="78"/>
        <v>1.3</v>
      </c>
      <c r="H182" s="16">
        <f t="shared" ref="H182:H183" si="102">0.55-0.025-0.025</f>
        <v>0.5</v>
      </c>
      <c r="I182" s="16">
        <f>I181/4</f>
        <v>0.3</v>
      </c>
      <c r="J182" s="16">
        <f t="shared" ref="J182:J183" si="103">0.55-0.025-0.025</f>
        <v>0.5</v>
      </c>
      <c r="K182" s="16"/>
      <c r="L182" s="10"/>
      <c r="M182" s="10"/>
      <c r="N182" s="17"/>
      <c r="O182" s="10" t="str">
        <f t="shared" si="96"/>
        <v xml:space="preserve"> </v>
      </c>
      <c r="P182" s="10" t="str">
        <f t="shared" si="85"/>
        <v xml:space="preserve"> </v>
      </c>
      <c r="Q182" s="10">
        <f t="shared" si="85"/>
        <v>2.6</v>
      </c>
      <c r="R182" s="10" t="str">
        <f t="shared" si="85"/>
        <v xml:space="preserve"> </v>
      </c>
      <c r="S182" s="10" t="str">
        <f t="shared" si="85"/>
        <v xml:space="preserve"> </v>
      </c>
      <c r="T182" s="10" t="str">
        <f t="shared" si="85"/>
        <v xml:space="preserve"> </v>
      </c>
    </row>
    <row r="183" spans="1:20" x14ac:dyDescent="0.35">
      <c r="A183" s="11">
        <v>178</v>
      </c>
      <c r="B183" s="15" t="s">
        <v>29</v>
      </c>
      <c r="C183" s="7" t="s">
        <v>21</v>
      </c>
      <c r="D183" s="7">
        <v>1</v>
      </c>
      <c r="E183" s="7">
        <v>1</v>
      </c>
      <c r="F183" s="13">
        <v>3</v>
      </c>
      <c r="G183" s="10">
        <f t="shared" si="78"/>
        <v>2.2000000000000002</v>
      </c>
      <c r="H183" s="16">
        <f t="shared" si="102"/>
        <v>0.5</v>
      </c>
      <c r="I183" s="16">
        <v>1.2</v>
      </c>
      <c r="J183" s="16">
        <f t="shared" si="103"/>
        <v>0.5</v>
      </c>
      <c r="K183" s="16"/>
      <c r="L183" s="10"/>
      <c r="M183" s="10"/>
      <c r="N183" s="17"/>
      <c r="O183" s="10" t="str">
        <f t="shared" si="96"/>
        <v xml:space="preserve"> </v>
      </c>
      <c r="P183" s="10" t="str">
        <f t="shared" si="85"/>
        <v xml:space="preserve"> </v>
      </c>
      <c r="Q183" s="10">
        <f t="shared" si="85"/>
        <v>6.6000000000000005</v>
      </c>
      <c r="R183" s="10" t="str">
        <f t="shared" si="85"/>
        <v xml:space="preserve"> </v>
      </c>
      <c r="S183" s="10" t="str">
        <f t="shared" si="85"/>
        <v xml:space="preserve"> </v>
      </c>
      <c r="T183" s="10" t="str">
        <f t="shared" si="85"/>
        <v xml:space="preserve"> </v>
      </c>
    </row>
    <row r="184" spans="1:20" x14ac:dyDescent="0.35">
      <c r="A184" s="11">
        <v>179</v>
      </c>
      <c r="B184" s="15" t="s">
        <v>30</v>
      </c>
      <c r="C184" s="7" t="s">
        <v>24</v>
      </c>
      <c r="D184" s="7">
        <v>1</v>
      </c>
      <c r="E184" s="7">
        <v>1</v>
      </c>
      <c r="F184" s="13">
        <f>ROUND((I181/4)/0.1+1,0)</f>
        <v>4</v>
      </c>
      <c r="G184" s="10">
        <f t="shared" si="78"/>
        <v>1.6600000000000001</v>
      </c>
      <c r="H184" s="16">
        <f t="shared" ref="H184:H186" si="104">0.3-0.025-0.025</f>
        <v>0.24999999999999997</v>
      </c>
      <c r="I184" s="16">
        <f>0.55-0.025-0.025</f>
        <v>0.5</v>
      </c>
      <c r="J184" s="16">
        <f>0.3-0.025-0.025</f>
        <v>0.24999999999999997</v>
      </c>
      <c r="K184" s="16">
        <f>0.55-0.025-0.025</f>
        <v>0.5</v>
      </c>
      <c r="L184" s="10">
        <v>0.08</v>
      </c>
      <c r="M184" s="10">
        <v>0.08</v>
      </c>
      <c r="N184" s="17"/>
      <c r="O184" s="10" t="str">
        <f t="shared" si="96"/>
        <v xml:space="preserve"> </v>
      </c>
      <c r="P184" s="10" t="str">
        <f t="shared" si="85"/>
        <v xml:space="preserve"> </v>
      </c>
      <c r="Q184" s="10" t="str">
        <f t="shared" si="85"/>
        <v xml:space="preserve"> </v>
      </c>
      <c r="R184" s="10" t="str">
        <f t="shared" si="85"/>
        <v xml:space="preserve"> </v>
      </c>
      <c r="S184" s="10" t="str">
        <f t="shared" si="85"/>
        <v xml:space="preserve"> </v>
      </c>
      <c r="T184" s="10">
        <f t="shared" si="85"/>
        <v>6.6400000000000006</v>
      </c>
    </row>
    <row r="185" spans="1:20" x14ac:dyDescent="0.35">
      <c r="A185" s="11">
        <v>180</v>
      </c>
      <c r="B185" s="15" t="s">
        <v>31</v>
      </c>
      <c r="C185" s="7" t="s">
        <v>24</v>
      </c>
      <c r="D185" s="7">
        <v>1</v>
      </c>
      <c r="E185" s="7">
        <v>1</v>
      </c>
      <c r="F185" s="13">
        <f>ROUND((I181/4)/0.1+1,0)</f>
        <v>4</v>
      </c>
      <c r="G185" s="10">
        <f t="shared" si="78"/>
        <v>1.6600000000000001</v>
      </c>
      <c r="H185" s="16">
        <f t="shared" si="104"/>
        <v>0.24999999999999997</v>
      </c>
      <c r="I185" s="16">
        <f t="shared" ref="I185:I186" si="105">0.55-0.025-0.025</f>
        <v>0.5</v>
      </c>
      <c r="J185" s="16">
        <f>0.3-0.025-0.025</f>
        <v>0.24999999999999997</v>
      </c>
      <c r="K185" s="16">
        <f t="shared" ref="K185:K186" si="106">0.55-0.025-0.025</f>
        <v>0.5</v>
      </c>
      <c r="L185" s="10">
        <v>0.08</v>
      </c>
      <c r="M185" s="10">
        <v>0.08</v>
      </c>
      <c r="N185" s="17"/>
      <c r="O185" s="10" t="str">
        <f t="shared" si="96"/>
        <v xml:space="preserve"> </v>
      </c>
      <c r="P185" s="10" t="str">
        <f t="shared" si="85"/>
        <v xml:space="preserve"> </v>
      </c>
      <c r="Q185" s="10" t="str">
        <f t="shared" si="85"/>
        <v xml:space="preserve"> </v>
      </c>
      <c r="R185" s="10" t="str">
        <f t="shared" si="85"/>
        <v xml:space="preserve"> </v>
      </c>
      <c r="S185" s="10" t="str">
        <f t="shared" si="85"/>
        <v xml:space="preserve"> </v>
      </c>
      <c r="T185" s="10">
        <f t="shared" si="85"/>
        <v>6.6400000000000006</v>
      </c>
    </row>
    <row r="186" spans="1:20" x14ac:dyDescent="0.35">
      <c r="A186" s="11">
        <v>181</v>
      </c>
      <c r="B186" s="15" t="s">
        <v>32</v>
      </c>
      <c r="C186" s="7" t="s">
        <v>24</v>
      </c>
      <c r="D186" s="7">
        <v>1</v>
      </c>
      <c r="E186" s="7">
        <v>1</v>
      </c>
      <c r="F186" s="13">
        <f>ROUND((I181/2)/0.1+1,0)</f>
        <v>7</v>
      </c>
      <c r="G186" s="10">
        <f t="shared" si="78"/>
        <v>1.6600000000000001</v>
      </c>
      <c r="H186" s="16">
        <f t="shared" si="104"/>
        <v>0.24999999999999997</v>
      </c>
      <c r="I186" s="16">
        <f t="shared" si="105"/>
        <v>0.5</v>
      </c>
      <c r="J186" s="16">
        <f>0.3-0.025-0.025</f>
        <v>0.24999999999999997</v>
      </c>
      <c r="K186" s="16">
        <f t="shared" si="106"/>
        <v>0.5</v>
      </c>
      <c r="L186" s="10">
        <v>0.08</v>
      </c>
      <c r="M186" s="10">
        <v>0.08</v>
      </c>
      <c r="N186" s="17"/>
      <c r="O186" s="10" t="str">
        <f t="shared" si="96"/>
        <v xml:space="preserve"> </v>
      </c>
      <c r="P186" s="10" t="str">
        <f t="shared" si="85"/>
        <v xml:space="preserve"> </v>
      </c>
      <c r="Q186" s="10" t="str">
        <f t="shared" si="85"/>
        <v xml:space="preserve"> </v>
      </c>
      <c r="R186" s="10" t="str">
        <f t="shared" si="85"/>
        <v xml:space="preserve"> </v>
      </c>
      <c r="S186" s="10" t="str">
        <f t="shared" si="85"/>
        <v xml:space="preserve"> </v>
      </c>
      <c r="T186" s="10">
        <f t="shared" si="85"/>
        <v>11.620000000000001</v>
      </c>
    </row>
    <row r="187" spans="1:20" x14ac:dyDescent="0.35">
      <c r="A187" s="11">
        <v>182</v>
      </c>
      <c r="B187" s="12" t="s">
        <v>61</v>
      </c>
      <c r="C187" s="7"/>
      <c r="D187" s="7"/>
      <c r="E187" s="7"/>
      <c r="F187" s="13"/>
      <c r="G187" s="10"/>
      <c r="H187" s="16"/>
      <c r="I187" s="16"/>
      <c r="J187" s="16"/>
      <c r="K187" s="16"/>
      <c r="L187" s="10"/>
      <c r="M187" s="10"/>
      <c r="N187" s="17"/>
      <c r="O187" s="10" t="str">
        <f t="shared" si="96"/>
        <v xml:space="preserve"> </v>
      </c>
      <c r="P187" s="10" t="str">
        <f t="shared" si="85"/>
        <v xml:space="preserve"> </v>
      </c>
      <c r="Q187" s="10" t="str">
        <f t="shared" si="85"/>
        <v xml:space="preserve"> </v>
      </c>
      <c r="R187" s="10" t="str">
        <f t="shared" si="85"/>
        <v xml:space="preserve"> </v>
      </c>
      <c r="S187" s="10" t="str">
        <f t="shared" si="85"/>
        <v xml:space="preserve"> </v>
      </c>
      <c r="T187" s="10" t="str">
        <f t="shared" si="85"/>
        <v xml:space="preserve"> </v>
      </c>
    </row>
    <row r="188" spans="1:20" x14ac:dyDescent="0.35">
      <c r="A188" s="11">
        <v>183</v>
      </c>
      <c r="B188" s="15" t="s">
        <v>28</v>
      </c>
      <c r="C188" s="7" t="s">
        <v>21</v>
      </c>
      <c r="D188" s="7">
        <v>1</v>
      </c>
      <c r="E188" s="7">
        <v>1</v>
      </c>
      <c r="F188" s="13">
        <v>3</v>
      </c>
      <c r="G188" s="10">
        <f t="shared" si="78"/>
        <v>6</v>
      </c>
      <c r="H188" s="16">
        <f>0.55-0.025-0.025</f>
        <v>0.5</v>
      </c>
      <c r="I188" s="16">
        <v>5</v>
      </c>
      <c r="J188" s="16">
        <f>0.55-0.025-0.025</f>
        <v>0.5</v>
      </c>
      <c r="K188" s="16"/>
      <c r="L188" s="10"/>
      <c r="M188" s="10"/>
      <c r="N188" s="17"/>
      <c r="O188" s="10" t="str">
        <f t="shared" si="96"/>
        <v xml:space="preserve"> </v>
      </c>
      <c r="P188" s="10" t="str">
        <f t="shared" si="85"/>
        <v xml:space="preserve"> </v>
      </c>
      <c r="Q188" s="10">
        <f t="shared" si="85"/>
        <v>18</v>
      </c>
      <c r="R188" s="10" t="str">
        <f t="shared" si="85"/>
        <v xml:space="preserve"> </v>
      </c>
      <c r="S188" s="10" t="str">
        <f t="shared" si="85"/>
        <v xml:space="preserve"> </v>
      </c>
      <c r="T188" s="10" t="str">
        <f t="shared" si="85"/>
        <v xml:space="preserve"> </v>
      </c>
    </row>
    <row r="189" spans="1:20" x14ac:dyDescent="0.35">
      <c r="A189" s="11">
        <v>184</v>
      </c>
      <c r="B189" s="15" t="s">
        <v>40</v>
      </c>
      <c r="C189" s="7" t="s">
        <v>21</v>
      </c>
      <c r="D189" s="7">
        <v>1</v>
      </c>
      <c r="E189" s="7">
        <v>1</v>
      </c>
      <c r="F189" s="13">
        <v>2</v>
      </c>
      <c r="G189" s="10">
        <f t="shared" si="78"/>
        <v>2.25</v>
      </c>
      <c r="H189" s="16">
        <f>0.55-0.025-0.025</f>
        <v>0.5</v>
      </c>
      <c r="I189" s="16">
        <f>I188/4</f>
        <v>1.25</v>
      </c>
      <c r="J189" s="16">
        <f>0.55-0.025-0.025</f>
        <v>0.5</v>
      </c>
      <c r="K189" s="16"/>
      <c r="L189" s="10"/>
      <c r="M189" s="10"/>
      <c r="N189" s="17"/>
      <c r="O189" s="10" t="str">
        <f t="shared" si="96"/>
        <v xml:space="preserve"> </v>
      </c>
      <c r="P189" s="10" t="str">
        <f t="shared" si="85"/>
        <v xml:space="preserve"> </v>
      </c>
      <c r="Q189" s="10">
        <f t="shared" si="85"/>
        <v>4.5</v>
      </c>
      <c r="R189" s="10" t="str">
        <f t="shared" si="85"/>
        <v xml:space="preserve"> </v>
      </c>
      <c r="S189" s="10" t="str">
        <f t="shared" si="85"/>
        <v xml:space="preserve"> </v>
      </c>
      <c r="T189" s="10" t="str">
        <f t="shared" si="85"/>
        <v xml:space="preserve"> </v>
      </c>
    </row>
    <row r="190" spans="1:20" x14ac:dyDescent="0.35">
      <c r="A190" s="11">
        <v>185</v>
      </c>
      <c r="B190" s="15" t="s">
        <v>38</v>
      </c>
      <c r="C190" s="7" t="s">
        <v>21</v>
      </c>
      <c r="D190" s="7">
        <v>1</v>
      </c>
      <c r="E190" s="7">
        <v>1</v>
      </c>
      <c r="F190" s="13">
        <v>2</v>
      </c>
      <c r="G190" s="10">
        <f t="shared" si="78"/>
        <v>2.25</v>
      </c>
      <c r="H190" s="16">
        <f>0.55-0.025-0.025</f>
        <v>0.5</v>
      </c>
      <c r="I190" s="16">
        <f>I188/4</f>
        <v>1.25</v>
      </c>
      <c r="J190" s="16">
        <f t="shared" ref="J190:J191" si="107">0.55-0.025-0.025</f>
        <v>0.5</v>
      </c>
      <c r="K190" s="16"/>
      <c r="L190" s="10"/>
      <c r="M190" s="10"/>
      <c r="N190" s="17"/>
      <c r="O190" s="10" t="str">
        <f t="shared" si="96"/>
        <v xml:space="preserve"> </v>
      </c>
      <c r="P190" s="10" t="str">
        <f t="shared" si="85"/>
        <v xml:space="preserve"> </v>
      </c>
      <c r="Q190" s="10">
        <f t="shared" si="85"/>
        <v>4.5</v>
      </c>
      <c r="R190" s="10" t="str">
        <f t="shared" si="85"/>
        <v xml:space="preserve"> </v>
      </c>
      <c r="S190" s="10" t="str">
        <f t="shared" si="85"/>
        <v xml:space="preserve"> </v>
      </c>
      <c r="T190" s="10" t="str">
        <f t="shared" si="85"/>
        <v xml:space="preserve"> </v>
      </c>
    </row>
    <row r="191" spans="1:20" x14ac:dyDescent="0.35">
      <c r="A191" s="11">
        <v>186</v>
      </c>
      <c r="B191" s="15" t="s">
        <v>29</v>
      </c>
      <c r="C191" s="7" t="s">
        <v>21</v>
      </c>
      <c r="D191" s="7">
        <v>1</v>
      </c>
      <c r="E191" s="7">
        <v>1</v>
      </c>
      <c r="F191" s="13">
        <v>3</v>
      </c>
      <c r="G191" s="10">
        <f t="shared" si="78"/>
        <v>6</v>
      </c>
      <c r="H191" s="16">
        <f t="shared" ref="H191" si="108">0.55-0.025-0.025</f>
        <v>0.5</v>
      </c>
      <c r="I191" s="16">
        <v>5</v>
      </c>
      <c r="J191" s="16">
        <f t="shared" si="107"/>
        <v>0.5</v>
      </c>
      <c r="K191" s="16"/>
      <c r="L191" s="10"/>
      <c r="M191" s="10"/>
      <c r="N191" s="17"/>
      <c r="O191" s="10" t="str">
        <f t="shared" si="96"/>
        <v xml:space="preserve"> </v>
      </c>
      <c r="P191" s="10" t="str">
        <f t="shared" si="85"/>
        <v xml:space="preserve"> </v>
      </c>
      <c r="Q191" s="10">
        <f t="shared" si="85"/>
        <v>18</v>
      </c>
      <c r="R191" s="10" t="str">
        <f t="shared" si="85"/>
        <v xml:space="preserve"> </v>
      </c>
      <c r="S191" s="10" t="str">
        <f t="shared" si="85"/>
        <v xml:space="preserve"> </v>
      </c>
      <c r="T191" s="10" t="str">
        <f t="shared" si="85"/>
        <v xml:space="preserve"> </v>
      </c>
    </row>
    <row r="192" spans="1:20" x14ac:dyDescent="0.35">
      <c r="A192" s="11">
        <v>187</v>
      </c>
      <c r="B192" s="15" t="s">
        <v>30</v>
      </c>
      <c r="C192" s="7" t="s">
        <v>24</v>
      </c>
      <c r="D192" s="7">
        <v>1</v>
      </c>
      <c r="E192" s="7">
        <v>1</v>
      </c>
      <c r="F192" s="13">
        <f>ROUND((I188/4)/0.1+1,0)</f>
        <v>14</v>
      </c>
      <c r="G192" s="10">
        <f t="shared" si="78"/>
        <v>1.6600000000000001</v>
      </c>
      <c r="H192" s="16">
        <f t="shared" ref="H192:H194" si="109">0.3-0.025-0.025</f>
        <v>0.24999999999999997</v>
      </c>
      <c r="I192" s="16">
        <f>0.55-0.025-0.025</f>
        <v>0.5</v>
      </c>
      <c r="J192" s="16">
        <f>0.3-0.025-0.025</f>
        <v>0.24999999999999997</v>
      </c>
      <c r="K192" s="16">
        <f>0.55-0.025-0.025</f>
        <v>0.5</v>
      </c>
      <c r="L192" s="10">
        <v>0.08</v>
      </c>
      <c r="M192" s="10">
        <v>0.08</v>
      </c>
      <c r="N192" s="17"/>
      <c r="O192" s="10" t="str">
        <f t="shared" si="96"/>
        <v xml:space="preserve"> </v>
      </c>
      <c r="P192" s="10" t="str">
        <f t="shared" si="85"/>
        <v xml:space="preserve"> </v>
      </c>
      <c r="Q192" s="10" t="str">
        <f t="shared" si="85"/>
        <v xml:space="preserve"> </v>
      </c>
      <c r="R192" s="10" t="str">
        <f t="shared" si="85"/>
        <v xml:space="preserve"> </v>
      </c>
      <c r="S192" s="10" t="str">
        <f t="shared" si="85"/>
        <v xml:space="preserve"> </v>
      </c>
      <c r="T192" s="10">
        <f t="shared" si="85"/>
        <v>23.240000000000002</v>
      </c>
    </row>
    <row r="193" spans="1:20" x14ac:dyDescent="0.35">
      <c r="A193" s="11">
        <v>188</v>
      </c>
      <c r="B193" s="15" t="s">
        <v>31</v>
      </c>
      <c r="C193" s="7" t="s">
        <v>24</v>
      </c>
      <c r="D193" s="7">
        <v>1</v>
      </c>
      <c r="E193" s="7">
        <v>1</v>
      </c>
      <c r="F193" s="13">
        <f>ROUND((I188/4)/0.1+1,0)</f>
        <v>14</v>
      </c>
      <c r="G193" s="10">
        <f t="shared" si="78"/>
        <v>1.6600000000000001</v>
      </c>
      <c r="H193" s="16">
        <f t="shared" si="109"/>
        <v>0.24999999999999997</v>
      </c>
      <c r="I193" s="16">
        <f t="shared" ref="I193:I194" si="110">0.55-0.025-0.025</f>
        <v>0.5</v>
      </c>
      <c r="J193" s="16">
        <f>0.3-0.025-0.025</f>
        <v>0.24999999999999997</v>
      </c>
      <c r="K193" s="16">
        <f t="shared" ref="K193:K194" si="111">0.55-0.025-0.025</f>
        <v>0.5</v>
      </c>
      <c r="L193" s="10">
        <v>0.08</v>
      </c>
      <c r="M193" s="10">
        <v>0.08</v>
      </c>
      <c r="N193" s="17"/>
      <c r="O193" s="10" t="str">
        <f t="shared" si="96"/>
        <v xml:space="preserve"> </v>
      </c>
      <c r="P193" s="10" t="str">
        <f t="shared" si="85"/>
        <v xml:space="preserve"> </v>
      </c>
      <c r="Q193" s="10" t="str">
        <f t="shared" si="85"/>
        <v xml:space="preserve"> </v>
      </c>
      <c r="R193" s="10" t="str">
        <f t="shared" si="85"/>
        <v xml:space="preserve"> </v>
      </c>
      <c r="S193" s="10" t="str">
        <f t="shared" si="85"/>
        <v xml:space="preserve"> </v>
      </c>
      <c r="T193" s="10">
        <f t="shared" si="85"/>
        <v>23.240000000000002</v>
      </c>
    </row>
    <row r="194" spans="1:20" x14ac:dyDescent="0.35">
      <c r="A194" s="11">
        <v>189</v>
      </c>
      <c r="B194" s="15" t="s">
        <v>32</v>
      </c>
      <c r="C194" s="7" t="s">
        <v>24</v>
      </c>
      <c r="D194" s="7">
        <v>1</v>
      </c>
      <c r="E194" s="7">
        <v>1</v>
      </c>
      <c r="F194" s="13">
        <f>ROUND((I188/2)/0.175+1,0)</f>
        <v>15</v>
      </c>
      <c r="G194" s="10">
        <f t="shared" si="78"/>
        <v>1.6600000000000001</v>
      </c>
      <c r="H194" s="16">
        <f t="shared" si="109"/>
        <v>0.24999999999999997</v>
      </c>
      <c r="I194" s="16">
        <f t="shared" si="110"/>
        <v>0.5</v>
      </c>
      <c r="J194" s="16">
        <f>0.3-0.025-0.025</f>
        <v>0.24999999999999997</v>
      </c>
      <c r="K194" s="16">
        <f t="shared" si="111"/>
        <v>0.5</v>
      </c>
      <c r="L194" s="10">
        <v>0.08</v>
      </c>
      <c r="M194" s="10">
        <v>0.08</v>
      </c>
      <c r="N194" s="17"/>
      <c r="O194" s="10" t="str">
        <f t="shared" si="96"/>
        <v xml:space="preserve"> </v>
      </c>
      <c r="P194" s="10" t="str">
        <f t="shared" si="85"/>
        <v xml:space="preserve"> </v>
      </c>
      <c r="Q194" s="10" t="str">
        <f t="shared" si="85"/>
        <v xml:space="preserve"> </v>
      </c>
      <c r="R194" s="10" t="str">
        <f t="shared" si="85"/>
        <v xml:space="preserve"> </v>
      </c>
      <c r="S194" s="10" t="str">
        <f t="shared" si="85"/>
        <v xml:space="preserve"> </v>
      </c>
      <c r="T194" s="10">
        <f t="shared" si="85"/>
        <v>24.900000000000002</v>
      </c>
    </row>
    <row r="195" spans="1:20" x14ac:dyDescent="0.35">
      <c r="A195" s="11">
        <v>190</v>
      </c>
      <c r="B195" s="12" t="s">
        <v>62</v>
      </c>
      <c r="C195" s="7"/>
      <c r="D195" s="7"/>
      <c r="E195" s="7"/>
      <c r="F195" s="13"/>
      <c r="G195" s="10"/>
      <c r="H195" s="16"/>
      <c r="I195" s="16"/>
      <c r="J195" s="16"/>
      <c r="K195" s="16"/>
      <c r="L195" s="10"/>
      <c r="M195" s="10"/>
      <c r="N195" s="17"/>
      <c r="O195" s="10" t="str">
        <f t="shared" si="96"/>
        <v xml:space="preserve"> </v>
      </c>
      <c r="P195" s="10" t="str">
        <f t="shared" si="85"/>
        <v xml:space="preserve"> </v>
      </c>
      <c r="Q195" s="10" t="str">
        <f t="shared" si="85"/>
        <v xml:space="preserve"> </v>
      </c>
      <c r="R195" s="10" t="str">
        <f t="shared" si="85"/>
        <v xml:space="preserve"> </v>
      </c>
      <c r="S195" s="10" t="str">
        <f t="shared" si="85"/>
        <v xml:space="preserve"> </v>
      </c>
      <c r="T195" s="10" t="str">
        <f t="shared" si="85"/>
        <v xml:space="preserve"> </v>
      </c>
    </row>
    <row r="196" spans="1:20" x14ac:dyDescent="0.35">
      <c r="A196" s="11">
        <v>191</v>
      </c>
      <c r="B196" s="15" t="s">
        <v>28</v>
      </c>
      <c r="C196" s="7" t="s">
        <v>21</v>
      </c>
      <c r="D196" s="7">
        <v>3</v>
      </c>
      <c r="E196" s="7">
        <v>1</v>
      </c>
      <c r="F196" s="13">
        <v>3</v>
      </c>
      <c r="G196" s="10">
        <f t="shared" si="78"/>
        <v>4.3999999999999995</v>
      </c>
      <c r="H196" s="16">
        <f>0.6-0.025-0.025</f>
        <v>0.54999999999999993</v>
      </c>
      <c r="I196" s="16">
        <v>3.3</v>
      </c>
      <c r="J196" s="16">
        <f>0.6-0.025-0.025</f>
        <v>0.54999999999999993</v>
      </c>
      <c r="K196" s="16"/>
      <c r="L196" s="10"/>
      <c r="M196" s="10"/>
      <c r="N196" s="17"/>
      <c r="O196" s="10" t="str">
        <f t="shared" si="96"/>
        <v xml:space="preserve"> </v>
      </c>
      <c r="P196" s="10" t="str">
        <f t="shared" si="85"/>
        <v xml:space="preserve"> </v>
      </c>
      <c r="Q196" s="10">
        <f t="shared" si="85"/>
        <v>39.599999999999994</v>
      </c>
      <c r="R196" s="10" t="str">
        <f t="shared" si="85"/>
        <v xml:space="preserve"> </v>
      </c>
      <c r="S196" s="10" t="str">
        <f t="shared" si="85"/>
        <v xml:space="preserve"> </v>
      </c>
      <c r="T196" s="10" t="str">
        <f t="shared" si="85"/>
        <v xml:space="preserve"> </v>
      </c>
    </row>
    <row r="197" spans="1:20" x14ac:dyDescent="0.35">
      <c r="A197" s="11">
        <v>192</v>
      </c>
      <c r="B197" s="15" t="s">
        <v>29</v>
      </c>
      <c r="C197" s="7" t="s">
        <v>20</v>
      </c>
      <c r="D197" s="7">
        <v>3</v>
      </c>
      <c r="E197" s="7">
        <v>1</v>
      </c>
      <c r="F197" s="13">
        <v>2</v>
      </c>
      <c r="G197" s="10">
        <f t="shared" si="78"/>
        <v>4.3999999999999995</v>
      </c>
      <c r="H197" s="16">
        <f t="shared" ref="H197:J198" si="112">0.6-0.025-0.025</f>
        <v>0.54999999999999993</v>
      </c>
      <c r="I197" s="16">
        <v>3.3</v>
      </c>
      <c r="J197" s="16">
        <f t="shared" si="112"/>
        <v>0.54999999999999993</v>
      </c>
      <c r="K197" s="16"/>
      <c r="L197" s="10"/>
      <c r="M197" s="10"/>
      <c r="N197" s="17"/>
      <c r="O197" s="10" t="str">
        <f t="shared" si="96"/>
        <v xml:space="preserve"> </v>
      </c>
      <c r="P197" s="10">
        <f t="shared" si="85"/>
        <v>26.4</v>
      </c>
      <c r="Q197" s="10" t="str">
        <f t="shared" si="85"/>
        <v xml:space="preserve"> </v>
      </c>
      <c r="R197" s="10" t="str">
        <f t="shared" si="85"/>
        <v xml:space="preserve"> </v>
      </c>
      <c r="S197" s="10" t="str">
        <f t="shared" si="85"/>
        <v xml:space="preserve"> </v>
      </c>
      <c r="T197" s="10" t="str">
        <f t="shared" si="85"/>
        <v xml:space="preserve"> </v>
      </c>
    </row>
    <row r="198" spans="1:20" x14ac:dyDescent="0.35">
      <c r="A198" s="11">
        <v>193</v>
      </c>
      <c r="B198" s="15" t="s">
        <v>29</v>
      </c>
      <c r="C198" s="7" t="s">
        <v>21</v>
      </c>
      <c r="D198" s="7">
        <v>3</v>
      </c>
      <c r="E198" s="7">
        <v>1</v>
      </c>
      <c r="F198" s="13">
        <v>1</v>
      </c>
      <c r="G198" s="10">
        <f t="shared" si="78"/>
        <v>4.3999999999999995</v>
      </c>
      <c r="H198" s="16">
        <f t="shared" si="112"/>
        <v>0.54999999999999993</v>
      </c>
      <c r="I198" s="16">
        <v>3.3</v>
      </c>
      <c r="J198" s="16">
        <f t="shared" si="112"/>
        <v>0.54999999999999993</v>
      </c>
      <c r="K198" s="16"/>
      <c r="L198" s="10"/>
      <c r="M198" s="10"/>
      <c r="N198" s="17"/>
      <c r="O198" s="10" t="str">
        <f t="shared" si="96"/>
        <v xml:space="preserve"> </v>
      </c>
      <c r="P198" s="10" t="str">
        <f t="shared" si="85"/>
        <v xml:space="preserve"> </v>
      </c>
      <c r="Q198" s="10">
        <f t="shared" si="85"/>
        <v>13.2</v>
      </c>
      <c r="R198" s="10" t="str">
        <f t="shared" si="85"/>
        <v xml:space="preserve"> </v>
      </c>
      <c r="S198" s="10" t="str">
        <f t="shared" si="85"/>
        <v xml:space="preserve"> </v>
      </c>
      <c r="T198" s="10" t="str">
        <f t="shared" si="85"/>
        <v xml:space="preserve"> </v>
      </c>
    </row>
    <row r="199" spans="1:20" x14ac:dyDescent="0.35">
      <c r="A199" s="11">
        <v>194</v>
      </c>
      <c r="B199" s="15" t="s">
        <v>30</v>
      </c>
      <c r="C199" s="7" t="s">
        <v>24</v>
      </c>
      <c r="D199" s="7">
        <v>3</v>
      </c>
      <c r="E199" s="7">
        <v>1</v>
      </c>
      <c r="F199" s="13">
        <f>ROUND((I196/4)/0.1+1,0)</f>
        <v>9</v>
      </c>
      <c r="G199" s="10">
        <f t="shared" si="78"/>
        <v>1.7599999999999998</v>
      </c>
      <c r="H199" s="16">
        <f t="shared" ref="H199:H201" si="113">0.3-0.025-0.025</f>
        <v>0.24999999999999997</v>
      </c>
      <c r="I199" s="16">
        <f>0.6-0.025-0.025</f>
        <v>0.54999999999999993</v>
      </c>
      <c r="J199" s="16">
        <f>0.3-0.025-0.025</f>
        <v>0.24999999999999997</v>
      </c>
      <c r="K199" s="16">
        <f>0.6-0.025-0.025</f>
        <v>0.54999999999999993</v>
      </c>
      <c r="L199" s="10">
        <v>0.08</v>
      </c>
      <c r="M199" s="10">
        <v>0.08</v>
      </c>
      <c r="N199" s="17"/>
      <c r="O199" s="10" t="str">
        <f t="shared" si="96"/>
        <v xml:space="preserve"> </v>
      </c>
      <c r="P199" s="10" t="str">
        <f t="shared" si="85"/>
        <v xml:space="preserve"> </v>
      </c>
      <c r="Q199" s="10" t="str">
        <f t="shared" si="85"/>
        <v xml:space="preserve"> </v>
      </c>
      <c r="R199" s="10" t="str">
        <f t="shared" si="85"/>
        <v xml:space="preserve"> </v>
      </c>
      <c r="S199" s="10" t="str">
        <f t="shared" si="85"/>
        <v xml:space="preserve"> </v>
      </c>
      <c r="T199" s="10">
        <f t="shared" si="85"/>
        <v>47.519999999999996</v>
      </c>
    </row>
    <row r="200" spans="1:20" x14ac:dyDescent="0.35">
      <c r="A200" s="11">
        <v>195</v>
      </c>
      <c r="B200" s="15" t="s">
        <v>31</v>
      </c>
      <c r="C200" s="7" t="s">
        <v>24</v>
      </c>
      <c r="D200" s="7">
        <v>3</v>
      </c>
      <c r="E200" s="7">
        <v>1</v>
      </c>
      <c r="F200" s="13">
        <f>ROUND((I196/4)/0.1+1,0)</f>
        <v>9</v>
      </c>
      <c r="G200" s="10">
        <f t="shared" ref="G200:G225" si="114">SUM(H200:N200)</f>
        <v>1.7599999999999998</v>
      </c>
      <c r="H200" s="16">
        <f t="shared" si="113"/>
        <v>0.24999999999999997</v>
      </c>
      <c r="I200" s="16">
        <f>0.6-0.025-0.025</f>
        <v>0.54999999999999993</v>
      </c>
      <c r="J200" s="16">
        <f>0.3-0.025-0.025</f>
        <v>0.24999999999999997</v>
      </c>
      <c r="K200" s="16">
        <f>0.6-0.025-0.025</f>
        <v>0.54999999999999993</v>
      </c>
      <c r="L200" s="10">
        <v>0.08</v>
      </c>
      <c r="M200" s="10">
        <v>0.08</v>
      </c>
      <c r="N200" s="17"/>
      <c r="O200" s="10" t="str">
        <f t="shared" si="96"/>
        <v xml:space="preserve"> </v>
      </c>
      <c r="P200" s="10" t="str">
        <f t="shared" si="85"/>
        <v xml:space="preserve"> </v>
      </c>
      <c r="Q200" s="10" t="str">
        <f t="shared" si="85"/>
        <v xml:space="preserve"> </v>
      </c>
      <c r="R200" s="10" t="str">
        <f t="shared" si="85"/>
        <v xml:space="preserve"> </v>
      </c>
      <c r="S200" s="10" t="str">
        <f t="shared" si="85"/>
        <v xml:space="preserve"> </v>
      </c>
      <c r="T200" s="10">
        <f t="shared" si="85"/>
        <v>47.519999999999996</v>
      </c>
    </row>
    <row r="201" spans="1:20" x14ac:dyDescent="0.35">
      <c r="A201" s="11">
        <v>196</v>
      </c>
      <c r="B201" s="15" t="s">
        <v>32</v>
      </c>
      <c r="C201" s="7" t="s">
        <v>24</v>
      </c>
      <c r="D201" s="7">
        <v>3</v>
      </c>
      <c r="E201" s="7">
        <v>1</v>
      </c>
      <c r="F201" s="13">
        <f>ROUND((I196/2)/0.1+1,0)</f>
        <v>18</v>
      </c>
      <c r="G201" s="10">
        <f t="shared" si="114"/>
        <v>1.7599999999999998</v>
      </c>
      <c r="H201" s="16">
        <f t="shared" si="113"/>
        <v>0.24999999999999997</v>
      </c>
      <c r="I201" s="16">
        <f>0.6-0.025-0.025</f>
        <v>0.54999999999999993</v>
      </c>
      <c r="J201" s="16">
        <f>0.3-0.025-0.025</f>
        <v>0.24999999999999997</v>
      </c>
      <c r="K201" s="16">
        <f>0.6-0.025-0.025</f>
        <v>0.54999999999999993</v>
      </c>
      <c r="L201" s="10">
        <v>0.08</v>
      </c>
      <c r="M201" s="10">
        <v>0.08</v>
      </c>
      <c r="N201" s="17"/>
      <c r="O201" s="10" t="str">
        <f t="shared" si="96"/>
        <v xml:space="preserve"> </v>
      </c>
      <c r="P201" s="10" t="str">
        <f t="shared" si="85"/>
        <v xml:space="preserve"> </v>
      </c>
      <c r="Q201" s="10" t="str">
        <f t="shared" si="85"/>
        <v xml:space="preserve"> </v>
      </c>
      <c r="R201" s="10" t="str">
        <f t="shared" si="85"/>
        <v xml:space="preserve"> </v>
      </c>
      <c r="S201" s="10" t="str">
        <f t="shared" si="85"/>
        <v xml:space="preserve"> </v>
      </c>
      <c r="T201" s="10">
        <f t="shared" si="85"/>
        <v>95.039999999999992</v>
      </c>
    </row>
    <row r="202" spans="1:20" x14ac:dyDescent="0.35">
      <c r="A202" s="11">
        <v>197</v>
      </c>
      <c r="B202" s="12" t="s">
        <v>63</v>
      </c>
      <c r="C202" s="7"/>
      <c r="D202" s="7"/>
      <c r="E202" s="7"/>
      <c r="F202" s="13"/>
      <c r="G202" s="10"/>
      <c r="H202" s="16"/>
      <c r="I202" s="16"/>
      <c r="J202" s="16"/>
      <c r="K202" s="16"/>
      <c r="L202" s="10"/>
      <c r="M202" s="10"/>
      <c r="N202" s="17"/>
      <c r="O202" s="10" t="str">
        <f t="shared" si="96"/>
        <v xml:space="preserve"> </v>
      </c>
      <c r="P202" s="10" t="str">
        <f t="shared" si="85"/>
        <v xml:space="preserve"> </v>
      </c>
      <c r="Q202" s="10" t="str">
        <f t="shared" si="85"/>
        <v xml:space="preserve"> </v>
      </c>
      <c r="R202" s="10" t="str">
        <f t="shared" si="85"/>
        <v xml:space="preserve"> </v>
      </c>
      <c r="S202" s="10" t="str">
        <f t="shared" si="85"/>
        <v xml:space="preserve"> </v>
      </c>
      <c r="T202" s="10" t="str">
        <f t="shared" si="85"/>
        <v xml:space="preserve"> </v>
      </c>
    </row>
    <row r="203" spans="1:20" x14ac:dyDescent="0.35">
      <c r="A203" s="11">
        <v>198</v>
      </c>
      <c r="B203" s="15" t="s">
        <v>28</v>
      </c>
      <c r="C203" s="7" t="s">
        <v>21</v>
      </c>
      <c r="D203" s="7">
        <v>2</v>
      </c>
      <c r="E203" s="7">
        <v>1</v>
      </c>
      <c r="F203" s="13">
        <v>3</v>
      </c>
      <c r="G203" s="10">
        <f t="shared" si="114"/>
        <v>2.2999999999999998</v>
      </c>
      <c r="H203" s="16">
        <f>0.6-0.025-0.025</f>
        <v>0.54999999999999993</v>
      </c>
      <c r="I203" s="16">
        <v>1.2</v>
      </c>
      <c r="J203" s="16">
        <f>0.6-0.025-0.025</f>
        <v>0.54999999999999993</v>
      </c>
      <c r="K203" s="16"/>
      <c r="L203" s="10"/>
      <c r="M203" s="10"/>
      <c r="N203" s="17"/>
      <c r="O203" s="10" t="str">
        <f t="shared" si="96"/>
        <v xml:space="preserve"> </v>
      </c>
      <c r="P203" s="10" t="str">
        <f t="shared" si="85"/>
        <v xml:space="preserve"> </v>
      </c>
      <c r="Q203" s="10">
        <f t="shared" si="85"/>
        <v>13.799999999999999</v>
      </c>
      <c r="R203" s="10" t="str">
        <f t="shared" si="85"/>
        <v xml:space="preserve"> </v>
      </c>
      <c r="S203" s="10" t="str">
        <f t="shared" si="85"/>
        <v xml:space="preserve"> </v>
      </c>
      <c r="T203" s="10" t="str">
        <f t="shared" si="85"/>
        <v xml:space="preserve"> </v>
      </c>
    </row>
    <row r="204" spans="1:20" x14ac:dyDescent="0.35">
      <c r="A204" s="11">
        <v>199</v>
      </c>
      <c r="B204" s="15" t="s">
        <v>29</v>
      </c>
      <c r="C204" s="7" t="s">
        <v>21</v>
      </c>
      <c r="D204" s="7">
        <v>2</v>
      </c>
      <c r="E204" s="7">
        <v>1</v>
      </c>
      <c r="F204" s="13">
        <v>3</v>
      </c>
      <c r="G204" s="10">
        <f t="shared" si="114"/>
        <v>2.2999999999999998</v>
      </c>
      <c r="H204" s="16">
        <f t="shared" ref="H204:H205" si="115">0.6-0.025-0.025</f>
        <v>0.54999999999999993</v>
      </c>
      <c r="I204" s="16">
        <v>1.2</v>
      </c>
      <c r="J204" s="16">
        <f t="shared" ref="J204:J205" si="116">0.6-0.025-0.025</f>
        <v>0.54999999999999993</v>
      </c>
      <c r="K204" s="16"/>
      <c r="L204" s="10"/>
      <c r="M204" s="10"/>
      <c r="N204" s="17"/>
      <c r="O204" s="10" t="str">
        <f t="shared" si="96"/>
        <v xml:space="preserve"> </v>
      </c>
      <c r="P204" s="10" t="str">
        <f t="shared" si="85"/>
        <v xml:space="preserve"> </v>
      </c>
      <c r="Q204" s="10">
        <f t="shared" si="85"/>
        <v>13.799999999999999</v>
      </c>
      <c r="R204" s="10" t="str">
        <f t="shared" si="85"/>
        <v xml:space="preserve"> </v>
      </c>
      <c r="S204" s="10" t="str">
        <f t="shared" si="85"/>
        <v xml:space="preserve"> </v>
      </c>
      <c r="T204" s="10" t="str">
        <f t="shared" si="85"/>
        <v xml:space="preserve"> </v>
      </c>
    </row>
    <row r="205" spans="1:20" x14ac:dyDescent="0.35">
      <c r="A205" s="11">
        <v>200</v>
      </c>
      <c r="B205" s="15" t="s">
        <v>40</v>
      </c>
      <c r="C205" s="7" t="s">
        <v>22</v>
      </c>
      <c r="D205" s="7">
        <v>2</v>
      </c>
      <c r="E205" s="7">
        <v>1</v>
      </c>
      <c r="F205" s="13">
        <v>2</v>
      </c>
      <c r="G205" s="10">
        <f t="shared" si="114"/>
        <v>1.4</v>
      </c>
      <c r="H205" s="16">
        <f t="shared" si="115"/>
        <v>0.54999999999999993</v>
      </c>
      <c r="I205" s="16">
        <f>I203/4</f>
        <v>0.3</v>
      </c>
      <c r="J205" s="16">
        <f t="shared" si="116"/>
        <v>0.54999999999999993</v>
      </c>
      <c r="K205" s="16"/>
      <c r="L205" s="10"/>
      <c r="M205" s="10"/>
      <c r="N205" s="17"/>
      <c r="O205" s="10" t="str">
        <f t="shared" si="96"/>
        <v xml:space="preserve"> </v>
      </c>
      <c r="P205" s="10" t="str">
        <f t="shared" si="85"/>
        <v xml:space="preserve"> </v>
      </c>
      <c r="Q205" s="10" t="str">
        <f t="shared" si="85"/>
        <v xml:space="preserve"> </v>
      </c>
      <c r="R205" s="10">
        <f t="shared" si="85"/>
        <v>5.6</v>
      </c>
      <c r="S205" s="10" t="str">
        <f t="shared" si="85"/>
        <v xml:space="preserve"> </v>
      </c>
      <c r="T205" s="10" t="str">
        <f t="shared" si="85"/>
        <v xml:space="preserve"> </v>
      </c>
    </row>
    <row r="206" spans="1:20" x14ac:dyDescent="0.35">
      <c r="A206" s="11">
        <v>201</v>
      </c>
      <c r="B206" s="15" t="s">
        <v>30</v>
      </c>
      <c r="C206" s="7" t="s">
        <v>24</v>
      </c>
      <c r="D206" s="7">
        <v>2</v>
      </c>
      <c r="E206" s="7">
        <v>1</v>
      </c>
      <c r="F206" s="13">
        <f>ROUND((I203/4)/0.1+1,0)</f>
        <v>4</v>
      </c>
      <c r="G206" s="10">
        <f t="shared" si="114"/>
        <v>1.7599999999999998</v>
      </c>
      <c r="H206" s="16">
        <f t="shared" ref="H206:H208" si="117">0.3-0.025-0.025</f>
        <v>0.24999999999999997</v>
      </c>
      <c r="I206" s="16">
        <f>0.6-0.025-0.025</f>
        <v>0.54999999999999993</v>
      </c>
      <c r="J206" s="16">
        <f>0.3-0.025-0.025</f>
        <v>0.24999999999999997</v>
      </c>
      <c r="K206" s="16">
        <f>0.6-0.025-0.025</f>
        <v>0.54999999999999993</v>
      </c>
      <c r="L206" s="10">
        <v>0.08</v>
      </c>
      <c r="M206" s="10">
        <v>0.08</v>
      </c>
      <c r="N206" s="17"/>
      <c r="O206" s="10" t="str">
        <f t="shared" si="96"/>
        <v xml:space="preserve"> </v>
      </c>
      <c r="P206" s="10" t="str">
        <f t="shared" si="85"/>
        <v xml:space="preserve"> </v>
      </c>
      <c r="Q206" s="10" t="str">
        <f t="shared" si="85"/>
        <v xml:space="preserve"> </v>
      </c>
      <c r="R206" s="10" t="str">
        <f t="shared" si="85"/>
        <v xml:space="preserve"> </v>
      </c>
      <c r="S206" s="10" t="str">
        <f t="shared" si="85"/>
        <v xml:space="preserve"> </v>
      </c>
      <c r="T206" s="10">
        <f t="shared" si="85"/>
        <v>14.079999999999998</v>
      </c>
    </row>
    <row r="207" spans="1:20" x14ac:dyDescent="0.35">
      <c r="A207" s="11">
        <v>202</v>
      </c>
      <c r="B207" s="15" t="s">
        <v>31</v>
      </c>
      <c r="C207" s="7" t="s">
        <v>24</v>
      </c>
      <c r="D207" s="7">
        <v>2</v>
      </c>
      <c r="E207" s="7">
        <v>1</v>
      </c>
      <c r="F207" s="13">
        <f>ROUND((I204/4)/0.1+1,0)</f>
        <v>4</v>
      </c>
      <c r="G207" s="10">
        <f t="shared" si="114"/>
        <v>1.7599999999999998</v>
      </c>
      <c r="H207" s="16">
        <f t="shared" si="117"/>
        <v>0.24999999999999997</v>
      </c>
      <c r="I207" s="16">
        <f>0.6-0.025-0.025</f>
        <v>0.54999999999999993</v>
      </c>
      <c r="J207" s="16">
        <f>0.3-0.025-0.025</f>
        <v>0.24999999999999997</v>
      </c>
      <c r="K207" s="16">
        <f>0.6-0.025-0.025</f>
        <v>0.54999999999999993</v>
      </c>
      <c r="L207" s="10">
        <v>0.08</v>
      </c>
      <c r="M207" s="10">
        <v>0.08</v>
      </c>
      <c r="N207" s="17"/>
      <c r="O207" s="10" t="str">
        <f t="shared" si="96"/>
        <v xml:space="preserve"> </v>
      </c>
      <c r="P207" s="10" t="str">
        <f t="shared" si="85"/>
        <v xml:space="preserve"> </v>
      </c>
      <c r="Q207" s="10" t="str">
        <f t="shared" si="85"/>
        <v xml:space="preserve"> </v>
      </c>
      <c r="R207" s="10" t="str">
        <f t="shared" ref="P207:T258" si="118">IF($C207=R$4,$D207*$E207*$F207*$G207," ")</f>
        <v xml:space="preserve"> </v>
      </c>
      <c r="S207" s="10" t="str">
        <f t="shared" si="118"/>
        <v xml:space="preserve"> </v>
      </c>
      <c r="T207" s="10">
        <f t="shared" si="118"/>
        <v>14.079999999999998</v>
      </c>
    </row>
    <row r="208" spans="1:20" x14ac:dyDescent="0.35">
      <c r="A208" s="11">
        <v>203</v>
      </c>
      <c r="B208" s="15" t="s">
        <v>32</v>
      </c>
      <c r="C208" s="7" t="s">
        <v>24</v>
      </c>
      <c r="D208" s="7">
        <v>2</v>
      </c>
      <c r="E208" s="7">
        <v>1</v>
      </c>
      <c r="F208" s="13">
        <f>ROUND((I203/2)/0.1+1,0)</f>
        <v>7</v>
      </c>
      <c r="G208" s="10">
        <f t="shared" si="114"/>
        <v>1.7599999999999998</v>
      </c>
      <c r="H208" s="16">
        <f t="shared" si="117"/>
        <v>0.24999999999999997</v>
      </c>
      <c r="I208" s="16">
        <f>0.6-0.025-0.025</f>
        <v>0.54999999999999993</v>
      </c>
      <c r="J208" s="16">
        <f>0.3-0.025-0.025</f>
        <v>0.24999999999999997</v>
      </c>
      <c r="K208" s="16">
        <f>0.6-0.025-0.025</f>
        <v>0.54999999999999993</v>
      </c>
      <c r="L208" s="10">
        <v>0.08</v>
      </c>
      <c r="M208" s="10">
        <v>0.08</v>
      </c>
      <c r="N208" s="17"/>
      <c r="O208" s="10" t="str">
        <f t="shared" si="96"/>
        <v xml:space="preserve"> </v>
      </c>
      <c r="P208" s="10" t="str">
        <f t="shared" si="118"/>
        <v xml:space="preserve"> </v>
      </c>
      <c r="Q208" s="10" t="str">
        <f t="shared" si="118"/>
        <v xml:space="preserve"> </v>
      </c>
      <c r="R208" s="10" t="str">
        <f t="shared" si="118"/>
        <v xml:space="preserve"> </v>
      </c>
      <c r="S208" s="10" t="str">
        <f t="shared" si="118"/>
        <v xml:space="preserve"> </v>
      </c>
      <c r="T208" s="10">
        <f t="shared" si="118"/>
        <v>24.639999999999997</v>
      </c>
    </row>
    <row r="209" spans="1:20" x14ac:dyDescent="0.35">
      <c r="A209" s="11">
        <v>204</v>
      </c>
      <c r="B209" s="12" t="s">
        <v>64</v>
      </c>
      <c r="C209" s="7"/>
      <c r="D209" s="7"/>
      <c r="E209" s="7"/>
      <c r="F209" s="13"/>
      <c r="G209" s="10"/>
      <c r="H209" s="16"/>
      <c r="I209" s="16"/>
      <c r="J209" s="16"/>
      <c r="K209" s="16"/>
      <c r="L209" s="10"/>
      <c r="M209" s="10"/>
      <c r="N209" s="17"/>
      <c r="O209" s="10" t="str">
        <f t="shared" si="96"/>
        <v xml:space="preserve"> </v>
      </c>
      <c r="P209" s="10" t="str">
        <f t="shared" si="118"/>
        <v xml:space="preserve"> </v>
      </c>
      <c r="Q209" s="10" t="str">
        <f t="shared" si="118"/>
        <v xml:space="preserve"> </v>
      </c>
      <c r="R209" s="10" t="str">
        <f t="shared" si="118"/>
        <v xml:space="preserve"> </v>
      </c>
      <c r="S209" s="10" t="str">
        <f t="shared" si="118"/>
        <v xml:space="preserve"> </v>
      </c>
      <c r="T209" s="10" t="str">
        <f t="shared" si="118"/>
        <v xml:space="preserve"> </v>
      </c>
    </row>
    <row r="210" spans="1:20" x14ac:dyDescent="0.35">
      <c r="A210" s="11">
        <v>205</v>
      </c>
      <c r="B210" s="15" t="s">
        <v>28</v>
      </c>
      <c r="C210" s="7" t="s">
        <v>21</v>
      </c>
      <c r="D210" s="7">
        <v>2</v>
      </c>
      <c r="E210" s="7">
        <v>1</v>
      </c>
      <c r="F210" s="13">
        <v>3</v>
      </c>
      <c r="G210" s="10">
        <f t="shared" si="114"/>
        <v>6.1</v>
      </c>
      <c r="H210" s="16">
        <f>0.6-0.025-0.025</f>
        <v>0.54999999999999993</v>
      </c>
      <c r="I210" s="16">
        <v>5</v>
      </c>
      <c r="J210" s="16">
        <f>0.6-0.025-0.025</f>
        <v>0.54999999999999993</v>
      </c>
      <c r="K210" s="16"/>
      <c r="L210" s="10"/>
      <c r="M210" s="10"/>
      <c r="N210" s="17"/>
      <c r="O210" s="10" t="str">
        <f t="shared" si="96"/>
        <v xml:space="preserve"> </v>
      </c>
      <c r="P210" s="10" t="str">
        <f t="shared" si="118"/>
        <v xml:space="preserve"> </v>
      </c>
      <c r="Q210" s="10">
        <f t="shared" si="118"/>
        <v>36.599999999999994</v>
      </c>
      <c r="R210" s="10" t="str">
        <f t="shared" si="118"/>
        <v xml:space="preserve"> </v>
      </c>
      <c r="S210" s="10" t="str">
        <f t="shared" si="118"/>
        <v xml:space="preserve"> </v>
      </c>
      <c r="T210" s="10" t="str">
        <f t="shared" si="118"/>
        <v xml:space="preserve"> </v>
      </c>
    </row>
    <row r="211" spans="1:20" x14ac:dyDescent="0.35">
      <c r="A211" s="11">
        <v>206</v>
      </c>
      <c r="B211" s="15" t="s">
        <v>29</v>
      </c>
      <c r="C211" s="7" t="s">
        <v>21</v>
      </c>
      <c r="D211" s="7">
        <v>2</v>
      </c>
      <c r="E211" s="7">
        <v>1</v>
      </c>
      <c r="F211" s="13">
        <v>3</v>
      </c>
      <c r="G211" s="10">
        <f t="shared" si="114"/>
        <v>6.1</v>
      </c>
      <c r="H211" s="16">
        <f t="shared" ref="H211:H213" si="119">0.6-0.025-0.025</f>
        <v>0.54999999999999993</v>
      </c>
      <c r="I211" s="16">
        <v>5</v>
      </c>
      <c r="J211" s="16">
        <f>0.6-0.025-0.025</f>
        <v>0.54999999999999993</v>
      </c>
      <c r="K211" s="16"/>
      <c r="L211" s="10"/>
      <c r="M211" s="10"/>
      <c r="N211" s="17"/>
      <c r="O211" s="10" t="str">
        <f t="shared" si="96"/>
        <v xml:space="preserve"> </v>
      </c>
      <c r="P211" s="10" t="str">
        <f t="shared" si="118"/>
        <v xml:space="preserve"> </v>
      </c>
      <c r="Q211" s="10">
        <f t="shared" si="118"/>
        <v>36.599999999999994</v>
      </c>
      <c r="R211" s="10" t="str">
        <f t="shared" si="118"/>
        <v xml:space="preserve"> </v>
      </c>
      <c r="S211" s="10" t="str">
        <f t="shared" si="118"/>
        <v xml:space="preserve"> </v>
      </c>
      <c r="T211" s="10" t="str">
        <f t="shared" si="118"/>
        <v xml:space="preserve"> </v>
      </c>
    </row>
    <row r="212" spans="1:20" x14ac:dyDescent="0.35">
      <c r="A212" s="11">
        <v>207</v>
      </c>
      <c r="B212" s="15" t="s">
        <v>40</v>
      </c>
      <c r="C212" s="7" t="s">
        <v>22</v>
      </c>
      <c r="D212" s="7">
        <v>2</v>
      </c>
      <c r="E212" s="7">
        <v>1</v>
      </c>
      <c r="F212" s="13">
        <v>2</v>
      </c>
      <c r="G212" s="10">
        <f t="shared" si="114"/>
        <v>2.3499999999999996</v>
      </c>
      <c r="H212" s="16">
        <f t="shared" si="119"/>
        <v>0.54999999999999993</v>
      </c>
      <c r="I212" s="16">
        <f>I210/4</f>
        <v>1.25</v>
      </c>
      <c r="J212" s="16">
        <f t="shared" ref="J212:J213" si="120">0.6-0.025-0.025</f>
        <v>0.54999999999999993</v>
      </c>
      <c r="K212" s="16"/>
      <c r="L212" s="10"/>
      <c r="M212" s="10"/>
      <c r="N212" s="17"/>
      <c r="O212" s="10" t="str">
        <f t="shared" si="96"/>
        <v xml:space="preserve"> </v>
      </c>
      <c r="P212" s="10" t="str">
        <f t="shared" si="118"/>
        <v xml:space="preserve"> </v>
      </c>
      <c r="Q212" s="10" t="str">
        <f t="shared" si="118"/>
        <v xml:space="preserve"> </v>
      </c>
      <c r="R212" s="10">
        <f t="shared" si="118"/>
        <v>9.3999999999999986</v>
      </c>
      <c r="S212" s="10" t="str">
        <f t="shared" si="118"/>
        <v xml:space="preserve"> </v>
      </c>
      <c r="T212" s="10" t="str">
        <f t="shared" si="118"/>
        <v xml:space="preserve"> </v>
      </c>
    </row>
    <row r="213" spans="1:20" x14ac:dyDescent="0.35">
      <c r="A213" s="11">
        <v>208</v>
      </c>
      <c r="B213" s="15" t="s">
        <v>38</v>
      </c>
      <c r="C213" s="7" t="s">
        <v>22</v>
      </c>
      <c r="D213" s="7">
        <v>2</v>
      </c>
      <c r="E213" s="7">
        <v>1</v>
      </c>
      <c r="F213" s="13">
        <v>2</v>
      </c>
      <c r="G213" s="10">
        <f t="shared" si="114"/>
        <v>2.3499999999999996</v>
      </c>
      <c r="H213" s="16">
        <f t="shared" si="119"/>
        <v>0.54999999999999993</v>
      </c>
      <c r="I213" s="16">
        <f>I210/4</f>
        <v>1.25</v>
      </c>
      <c r="J213" s="16">
        <f t="shared" si="120"/>
        <v>0.54999999999999993</v>
      </c>
      <c r="K213" s="16"/>
      <c r="L213" s="10"/>
      <c r="M213" s="10"/>
      <c r="N213" s="17"/>
      <c r="O213" s="10" t="str">
        <f t="shared" si="96"/>
        <v xml:space="preserve"> </v>
      </c>
      <c r="P213" s="10" t="str">
        <f t="shared" si="118"/>
        <v xml:space="preserve"> </v>
      </c>
      <c r="Q213" s="10" t="str">
        <f t="shared" si="118"/>
        <v xml:space="preserve"> </v>
      </c>
      <c r="R213" s="10">
        <f t="shared" si="118"/>
        <v>9.3999999999999986</v>
      </c>
      <c r="S213" s="10" t="str">
        <f t="shared" si="118"/>
        <v xml:space="preserve"> </v>
      </c>
      <c r="T213" s="10" t="str">
        <f t="shared" si="118"/>
        <v xml:space="preserve"> </v>
      </c>
    </row>
    <row r="214" spans="1:20" x14ac:dyDescent="0.35">
      <c r="A214" s="11">
        <v>209</v>
      </c>
      <c r="B214" s="15" t="s">
        <v>30</v>
      </c>
      <c r="C214" s="7" t="s">
        <v>24</v>
      </c>
      <c r="D214" s="7">
        <v>2</v>
      </c>
      <c r="E214" s="7">
        <v>1</v>
      </c>
      <c r="F214" s="13">
        <f>ROUND((I210/4)/0.1+1,0)</f>
        <v>14</v>
      </c>
      <c r="G214" s="10">
        <f t="shared" si="114"/>
        <v>1.7599999999999998</v>
      </c>
      <c r="H214" s="16">
        <f t="shared" ref="H214:H216" si="121">0.3-0.025-0.025</f>
        <v>0.24999999999999997</v>
      </c>
      <c r="I214" s="16">
        <f>0.6-0.025-0.025</f>
        <v>0.54999999999999993</v>
      </c>
      <c r="J214" s="16">
        <f>0.3-0.025-0.025</f>
        <v>0.24999999999999997</v>
      </c>
      <c r="K214" s="16">
        <f>0.6-0.025-0.025</f>
        <v>0.54999999999999993</v>
      </c>
      <c r="L214" s="10">
        <v>0.08</v>
      </c>
      <c r="M214" s="10">
        <v>0.08</v>
      </c>
      <c r="N214" s="17"/>
      <c r="O214" s="10" t="str">
        <f t="shared" si="96"/>
        <v xml:space="preserve"> </v>
      </c>
      <c r="P214" s="10" t="str">
        <f t="shared" si="118"/>
        <v xml:space="preserve"> </v>
      </c>
      <c r="Q214" s="10" t="str">
        <f t="shared" si="118"/>
        <v xml:space="preserve"> </v>
      </c>
      <c r="R214" s="10" t="str">
        <f t="shared" si="118"/>
        <v xml:space="preserve"> </v>
      </c>
      <c r="S214" s="10" t="str">
        <f t="shared" si="118"/>
        <v xml:space="preserve"> </v>
      </c>
      <c r="T214" s="10">
        <f t="shared" si="118"/>
        <v>49.279999999999994</v>
      </c>
    </row>
    <row r="215" spans="1:20" x14ac:dyDescent="0.35">
      <c r="A215" s="11">
        <v>210</v>
      </c>
      <c r="B215" s="15" t="s">
        <v>31</v>
      </c>
      <c r="C215" s="7" t="s">
        <v>24</v>
      </c>
      <c r="D215" s="7">
        <v>2</v>
      </c>
      <c r="E215" s="7">
        <v>1</v>
      </c>
      <c r="F215" s="13">
        <f>ROUND((I210/4)/0.1+1,0)</f>
        <v>14</v>
      </c>
      <c r="G215" s="10">
        <f t="shared" si="114"/>
        <v>1.7599999999999998</v>
      </c>
      <c r="H215" s="16">
        <f t="shared" si="121"/>
        <v>0.24999999999999997</v>
      </c>
      <c r="I215" s="16">
        <f>0.6-0.025-0.025</f>
        <v>0.54999999999999993</v>
      </c>
      <c r="J215" s="16">
        <f>0.3-0.025-0.025</f>
        <v>0.24999999999999997</v>
      </c>
      <c r="K215" s="16">
        <f>0.6-0.025-0.025</f>
        <v>0.54999999999999993</v>
      </c>
      <c r="L215" s="10">
        <v>0.08</v>
      </c>
      <c r="M215" s="10">
        <v>0.08</v>
      </c>
      <c r="N215" s="17"/>
      <c r="O215" s="10" t="str">
        <f t="shared" si="96"/>
        <v xml:space="preserve"> </v>
      </c>
      <c r="P215" s="10" t="str">
        <f t="shared" si="118"/>
        <v xml:space="preserve"> </v>
      </c>
      <c r="Q215" s="10" t="str">
        <f t="shared" si="118"/>
        <v xml:space="preserve"> </v>
      </c>
      <c r="R215" s="10" t="str">
        <f t="shared" si="118"/>
        <v xml:space="preserve"> </v>
      </c>
      <c r="S215" s="10" t="str">
        <f t="shared" si="118"/>
        <v xml:space="preserve"> </v>
      </c>
      <c r="T215" s="10">
        <f t="shared" si="118"/>
        <v>49.279999999999994</v>
      </c>
    </row>
    <row r="216" spans="1:20" x14ac:dyDescent="0.35">
      <c r="A216" s="11">
        <v>211</v>
      </c>
      <c r="B216" s="15" t="s">
        <v>32</v>
      </c>
      <c r="C216" s="7" t="s">
        <v>24</v>
      </c>
      <c r="D216" s="7">
        <v>2</v>
      </c>
      <c r="E216" s="7">
        <v>1</v>
      </c>
      <c r="F216" s="13">
        <f>ROUND((I210/2)/0.175+1,0)</f>
        <v>15</v>
      </c>
      <c r="G216" s="10">
        <f t="shared" si="114"/>
        <v>1.7599999999999998</v>
      </c>
      <c r="H216" s="16">
        <f t="shared" si="121"/>
        <v>0.24999999999999997</v>
      </c>
      <c r="I216" s="16">
        <f>0.6-0.025-0.025</f>
        <v>0.54999999999999993</v>
      </c>
      <c r="J216" s="16">
        <f>0.3-0.025-0.025</f>
        <v>0.24999999999999997</v>
      </c>
      <c r="K216" s="16">
        <f>0.6-0.025-0.025</f>
        <v>0.54999999999999993</v>
      </c>
      <c r="L216" s="10">
        <v>0.08</v>
      </c>
      <c r="M216" s="10">
        <v>0.08</v>
      </c>
      <c r="N216" s="17"/>
      <c r="O216" s="10" t="str">
        <f t="shared" si="96"/>
        <v xml:space="preserve"> </v>
      </c>
      <c r="P216" s="10" t="str">
        <f t="shared" si="118"/>
        <v xml:space="preserve"> </v>
      </c>
      <c r="Q216" s="10" t="str">
        <f t="shared" si="118"/>
        <v xml:space="preserve"> </v>
      </c>
      <c r="R216" s="10" t="str">
        <f t="shared" si="118"/>
        <v xml:space="preserve"> </v>
      </c>
      <c r="S216" s="10" t="str">
        <f t="shared" si="118"/>
        <v xml:space="preserve"> </v>
      </c>
      <c r="T216" s="10">
        <f t="shared" si="118"/>
        <v>52.8</v>
      </c>
    </row>
    <row r="217" spans="1:20" x14ac:dyDescent="0.35">
      <c r="A217" s="11">
        <v>212</v>
      </c>
      <c r="B217" s="12" t="s">
        <v>65</v>
      </c>
      <c r="C217" s="7"/>
      <c r="D217" s="7"/>
      <c r="E217" s="7"/>
      <c r="F217" s="13"/>
      <c r="G217" s="10"/>
      <c r="H217" s="16"/>
      <c r="I217" s="16"/>
      <c r="J217" s="16"/>
      <c r="K217" s="16"/>
      <c r="L217" s="10"/>
      <c r="M217" s="10"/>
      <c r="N217" s="17"/>
      <c r="O217" s="10" t="str">
        <f t="shared" si="96"/>
        <v xml:space="preserve"> </v>
      </c>
      <c r="P217" s="10" t="str">
        <f t="shared" si="118"/>
        <v xml:space="preserve"> </v>
      </c>
      <c r="Q217" s="10" t="str">
        <f t="shared" si="118"/>
        <v xml:space="preserve"> </v>
      </c>
      <c r="R217" s="10" t="str">
        <f t="shared" si="118"/>
        <v xml:space="preserve"> </v>
      </c>
      <c r="S217" s="10" t="str">
        <f t="shared" si="118"/>
        <v xml:space="preserve"> </v>
      </c>
      <c r="T217" s="10" t="str">
        <f t="shared" si="118"/>
        <v xml:space="preserve"> </v>
      </c>
    </row>
    <row r="218" spans="1:20" x14ac:dyDescent="0.35">
      <c r="A218" s="11">
        <v>213</v>
      </c>
      <c r="B218" s="15" t="s">
        <v>28</v>
      </c>
      <c r="C218" s="7" t="s">
        <v>21</v>
      </c>
      <c r="D218" s="7">
        <v>2</v>
      </c>
      <c r="E218" s="7">
        <v>1</v>
      </c>
      <c r="F218" s="13">
        <v>2</v>
      </c>
      <c r="G218" s="10">
        <f t="shared" si="114"/>
        <v>6.15</v>
      </c>
      <c r="H218" s="16">
        <f>0.75-0.025-0.025</f>
        <v>0.7</v>
      </c>
      <c r="I218" s="16">
        <v>4.75</v>
      </c>
      <c r="J218" s="16">
        <f t="shared" ref="H218:K233" si="122">0.75-0.025-0.025</f>
        <v>0.7</v>
      </c>
      <c r="K218" s="16"/>
      <c r="L218" s="10"/>
      <c r="M218" s="10"/>
      <c r="N218" s="17"/>
      <c r="O218" s="10" t="str">
        <f t="shared" si="96"/>
        <v xml:space="preserve"> </v>
      </c>
      <c r="P218" s="10" t="str">
        <f t="shared" si="118"/>
        <v xml:space="preserve"> </v>
      </c>
      <c r="Q218" s="10">
        <f t="shared" si="118"/>
        <v>24.6</v>
      </c>
      <c r="R218" s="10" t="str">
        <f t="shared" si="118"/>
        <v xml:space="preserve"> </v>
      </c>
      <c r="S218" s="10" t="str">
        <f t="shared" si="118"/>
        <v xml:space="preserve"> </v>
      </c>
      <c r="T218" s="10" t="str">
        <f t="shared" si="118"/>
        <v xml:space="preserve"> </v>
      </c>
    </row>
    <row r="219" spans="1:20" x14ac:dyDescent="0.35">
      <c r="A219" s="11">
        <v>214</v>
      </c>
      <c r="B219" s="15" t="s">
        <v>28</v>
      </c>
      <c r="C219" s="7" t="s">
        <v>22</v>
      </c>
      <c r="D219" s="7">
        <v>2</v>
      </c>
      <c r="E219" s="7">
        <v>1</v>
      </c>
      <c r="F219" s="13">
        <v>1</v>
      </c>
      <c r="G219" s="10">
        <f t="shared" si="114"/>
        <v>6.15</v>
      </c>
      <c r="H219" s="16">
        <f t="shared" si="122"/>
        <v>0.7</v>
      </c>
      <c r="I219" s="16">
        <v>4.75</v>
      </c>
      <c r="J219" s="16">
        <f t="shared" si="122"/>
        <v>0.7</v>
      </c>
      <c r="K219" s="16"/>
      <c r="L219" s="10"/>
      <c r="M219" s="10"/>
      <c r="N219" s="17"/>
      <c r="O219" s="10" t="str">
        <f t="shared" si="96"/>
        <v xml:space="preserve"> </v>
      </c>
      <c r="P219" s="10" t="str">
        <f t="shared" si="118"/>
        <v xml:space="preserve"> </v>
      </c>
      <c r="Q219" s="10" t="str">
        <f t="shared" si="118"/>
        <v xml:space="preserve"> </v>
      </c>
      <c r="R219" s="10">
        <f t="shared" si="118"/>
        <v>12.3</v>
      </c>
      <c r="S219" s="10" t="str">
        <f t="shared" si="118"/>
        <v xml:space="preserve"> </v>
      </c>
      <c r="T219" s="10" t="str">
        <f t="shared" si="118"/>
        <v xml:space="preserve"> </v>
      </c>
    </row>
    <row r="220" spans="1:20" x14ac:dyDescent="0.35">
      <c r="A220" s="11">
        <v>215</v>
      </c>
      <c r="B220" s="15" t="s">
        <v>29</v>
      </c>
      <c r="C220" s="7" t="s">
        <v>21</v>
      </c>
      <c r="D220" s="7">
        <v>2</v>
      </c>
      <c r="E220" s="7">
        <v>1</v>
      </c>
      <c r="F220" s="13">
        <v>2</v>
      </c>
      <c r="G220" s="10">
        <f t="shared" si="114"/>
        <v>6.15</v>
      </c>
      <c r="H220" s="16">
        <f t="shared" si="122"/>
        <v>0.7</v>
      </c>
      <c r="I220" s="16">
        <v>4.75</v>
      </c>
      <c r="J220" s="16">
        <f t="shared" si="122"/>
        <v>0.7</v>
      </c>
      <c r="K220" s="16"/>
      <c r="L220" s="10"/>
      <c r="M220" s="10"/>
      <c r="N220" s="17"/>
      <c r="O220" s="10" t="str">
        <f t="shared" si="96"/>
        <v xml:space="preserve"> </v>
      </c>
      <c r="P220" s="10" t="str">
        <f t="shared" si="118"/>
        <v xml:space="preserve"> </v>
      </c>
      <c r="Q220" s="10">
        <f t="shared" si="118"/>
        <v>24.6</v>
      </c>
      <c r="R220" s="10" t="str">
        <f t="shared" si="118"/>
        <v xml:space="preserve"> </v>
      </c>
      <c r="S220" s="10" t="str">
        <f t="shared" si="118"/>
        <v xml:space="preserve"> </v>
      </c>
      <c r="T220" s="10" t="str">
        <f t="shared" si="118"/>
        <v xml:space="preserve"> </v>
      </c>
    </row>
    <row r="221" spans="1:20" x14ac:dyDescent="0.35">
      <c r="A221" s="11">
        <v>216</v>
      </c>
      <c r="B221" s="15" t="s">
        <v>29</v>
      </c>
      <c r="C221" s="7" t="s">
        <v>22</v>
      </c>
      <c r="D221" s="7">
        <v>2</v>
      </c>
      <c r="E221" s="7">
        <v>1</v>
      </c>
      <c r="F221" s="13">
        <v>1</v>
      </c>
      <c r="G221" s="10">
        <f t="shared" si="114"/>
        <v>6.15</v>
      </c>
      <c r="H221" s="16">
        <f t="shared" si="122"/>
        <v>0.7</v>
      </c>
      <c r="I221" s="16">
        <v>4.75</v>
      </c>
      <c r="J221" s="16">
        <f t="shared" si="122"/>
        <v>0.7</v>
      </c>
      <c r="K221" s="16"/>
      <c r="L221" s="10"/>
      <c r="M221" s="10"/>
      <c r="N221" s="17"/>
      <c r="O221" s="10" t="str">
        <f t="shared" si="96"/>
        <v xml:space="preserve"> </v>
      </c>
      <c r="P221" s="10" t="str">
        <f t="shared" si="118"/>
        <v xml:space="preserve"> </v>
      </c>
      <c r="Q221" s="10" t="str">
        <f t="shared" si="118"/>
        <v xml:space="preserve"> </v>
      </c>
      <c r="R221" s="10">
        <f t="shared" si="118"/>
        <v>12.3</v>
      </c>
      <c r="S221" s="10" t="str">
        <f t="shared" si="118"/>
        <v xml:space="preserve"> </v>
      </c>
      <c r="T221" s="10" t="str">
        <f t="shared" si="118"/>
        <v xml:space="preserve"> </v>
      </c>
    </row>
    <row r="222" spans="1:20" x14ac:dyDescent="0.35">
      <c r="A222" s="11">
        <v>217</v>
      </c>
      <c r="B222" s="15" t="s">
        <v>30</v>
      </c>
      <c r="C222" s="7" t="s">
        <v>24</v>
      </c>
      <c r="D222" s="7">
        <v>2</v>
      </c>
      <c r="E222" s="7">
        <v>1</v>
      </c>
      <c r="F222" s="13">
        <f>ROUND((I218/4)/0.1+1,0)</f>
        <v>13</v>
      </c>
      <c r="G222" s="10">
        <f t="shared" si="114"/>
        <v>2.06</v>
      </c>
      <c r="H222" s="16">
        <f t="shared" ref="H222:H224" si="123">0.3-0.025-0.025</f>
        <v>0.24999999999999997</v>
      </c>
      <c r="I222" s="16">
        <f t="shared" ref="I222:I224" si="124">0.75-0.025-0.025</f>
        <v>0.7</v>
      </c>
      <c r="J222" s="16">
        <f>0.3-0.025-0.025</f>
        <v>0.24999999999999997</v>
      </c>
      <c r="K222" s="16">
        <f t="shared" si="122"/>
        <v>0.7</v>
      </c>
      <c r="L222" s="10">
        <v>0.08</v>
      </c>
      <c r="M222" s="10">
        <v>0.08</v>
      </c>
      <c r="N222" s="17"/>
      <c r="O222" s="10" t="str">
        <f t="shared" si="96"/>
        <v xml:space="preserve"> </v>
      </c>
      <c r="P222" s="10" t="str">
        <f t="shared" si="118"/>
        <v xml:space="preserve"> </v>
      </c>
      <c r="Q222" s="10" t="str">
        <f t="shared" si="118"/>
        <v xml:space="preserve"> </v>
      </c>
      <c r="R222" s="10" t="str">
        <f t="shared" si="118"/>
        <v xml:space="preserve"> </v>
      </c>
      <c r="S222" s="10" t="str">
        <f t="shared" si="118"/>
        <v xml:space="preserve"> </v>
      </c>
      <c r="T222" s="10">
        <f t="shared" si="118"/>
        <v>53.56</v>
      </c>
    </row>
    <row r="223" spans="1:20" x14ac:dyDescent="0.35">
      <c r="A223" s="11">
        <v>218</v>
      </c>
      <c r="B223" s="15" t="s">
        <v>31</v>
      </c>
      <c r="C223" s="7" t="s">
        <v>24</v>
      </c>
      <c r="D223" s="7">
        <v>2</v>
      </c>
      <c r="E223" s="7">
        <v>1</v>
      </c>
      <c r="F223" s="13">
        <f>ROUND((I218/4)/0.1+1,0)</f>
        <v>13</v>
      </c>
      <c r="G223" s="10">
        <f t="shared" si="114"/>
        <v>2.06</v>
      </c>
      <c r="H223" s="16">
        <f t="shared" si="123"/>
        <v>0.24999999999999997</v>
      </c>
      <c r="I223" s="16">
        <f t="shared" si="124"/>
        <v>0.7</v>
      </c>
      <c r="J223" s="16">
        <f>0.3-0.025-0.025</f>
        <v>0.24999999999999997</v>
      </c>
      <c r="K223" s="16">
        <f t="shared" si="122"/>
        <v>0.7</v>
      </c>
      <c r="L223" s="10">
        <v>0.08</v>
      </c>
      <c r="M223" s="10">
        <v>0.08</v>
      </c>
      <c r="N223" s="17"/>
      <c r="O223" s="10" t="str">
        <f t="shared" si="96"/>
        <v xml:space="preserve"> </v>
      </c>
      <c r="P223" s="10" t="str">
        <f t="shared" si="118"/>
        <v xml:space="preserve"> </v>
      </c>
      <c r="Q223" s="10" t="str">
        <f t="shared" si="118"/>
        <v xml:space="preserve"> </v>
      </c>
      <c r="R223" s="10" t="str">
        <f t="shared" si="118"/>
        <v xml:space="preserve"> </v>
      </c>
      <c r="S223" s="10" t="str">
        <f t="shared" si="118"/>
        <v xml:space="preserve"> </v>
      </c>
      <c r="T223" s="10">
        <f t="shared" si="118"/>
        <v>53.56</v>
      </c>
    </row>
    <row r="224" spans="1:20" x14ac:dyDescent="0.35">
      <c r="A224" s="11">
        <v>219</v>
      </c>
      <c r="B224" s="15" t="s">
        <v>32</v>
      </c>
      <c r="C224" s="7" t="s">
        <v>24</v>
      </c>
      <c r="D224" s="7">
        <v>2</v>
      </c>
      <c r="E224" s="7">
        <v>1</v>
      </c>
      <c r="F224" s="13">
        <f>ROUND((I218/2)/0.175+1,0)</f>
        <v>15</v>
      </c>
      <c r="G224" s="10">
        <f t="shared" si="114"/>
        <v>2.06</v>
      </c>
      <c r="H224" s="16">
        <f t="shared" si="123"/>
        <v>0.24999999999999997</v>
      </c>
      <c r="I224" s="16">
        <f t="shared" si="124"/>
        <v>0.7</v>
      </c>
      <c r="J224" s="16">
        <f>0.3-0.025-0.025</f>
        <v>0.24999999999999997</v>
      </c>
      <c r="K224" s="16">
        <f t="shared" si="122"/>
        <v>0.7</v>
      </c>
      <c r="L224" s="10">
        <v>0.08</v>
      </c>
      <c r="M224" s="10">
        <v>0.08</v>
      </c>
      <c r="N224" s="17"/>
      <c r="O224" s="10" t="str">
        <f t="shared" si="96"/>
        <v xml:space="preserve"> </v>
      </c>
      <c r="P224" s="10" t="str">
        <f t="shared" si="118"/>
        <v xml:space="preserve"> </v>
      </c>
      <c r="Q224" s="10" t="str">
        <f t="shared" si="118"/>
        <v xml:space="preserve"> </v>
      </c>
      <c r="R224" s="10" t="str">
        <f t="shared" si="118"/>
        <v xml:space="preserve"> </v>
      </c>
      <c r="S224" s="10" t="str">
        <f t="shared" si="118"/>
        <v xml:space="preserve"> </v>
      </c>
      <c r="T224" s="10">
        <f t="shared" si="118"/>
        <v>61.800000000000004</v>
      </c>
    </row>
    <row r="225" spans="1:20" x14ac:dyDescent="0.35">
      <c r="A225" s="11">
        <v>220</v>
      </c>
      <c r="B225" s="15" t="s">
        <v>33</v>
      </c>
      <c r="C225" s="7" t="s">
        <v>23</v>
      </c>
      <c r="D225" s="7">
        <v>2</v>
      </c>
      <c r="E225" s="7">
        <v>1</v>
      </c>
      <c r="F225" s="13">
        <v>2</v>
      </c>
      <c r="G225" s="10">
        <f t="shared" si="114"/>
        <v>6.15</v>
      </c>
      <c r="H225" s="16">
        <f t="shared" si="122"/>
        <v>0.7</v>
      </c>
      <c r="I225" s="16">
        <v>4.75</v>
      </c>
      <c r="J225" s="16">
        <f t="shared" si="122"/>
        <v>0.7</v>
      </c>
      <c r="K225" s="16"/>
      <c r="L225" s="10"/>
      <c r="M225" s="10"/>
      <c r="N225" s="17"/>
      <c r="O225" s="10" t="str">
        <f t="shared" si="96"/>
        <v xml:space="preserve"> </v>
      </c>
      <c r="P225" s="10" t="str">
        <f t="shared" si="118"/>
        <v xml:space="preserve"> </v>
      </c>
      <c r="Q225" s="10" t="str">
        <f t="shared" si="118"/>
        <v xml:space="preserve"> </v>
      </c>
      <c r="R225" s="10" t="str">
        <f t="shared" si="118"/>
        <v xml:space="preserve"> </v>
      </c>
      <c r="S225" s="10">
        <f t="shared" si="118"/>
        <v>24.6</v>
      </c>
      <c r="T225" s="10" t="str">
        <f t="shared" si="118"/>
        <v xml:space="preserve"> </v>
      </c>
    </row>
    <row r="226" spans="1:20" x14ac:dyDescent="0.35">
      <c r="A226" s="11">
        <v>221</v>
      </c>
      <c r="B226" s="12" t="s">
        <v>65</v>
      </c>
      <c r="C226" s="7"/>
      <c r="D226" s="7"/>
      <c r="E226" s="7"/>
      <c r="F226" s="13"/>
      <c r="G226" s="10"/>
      <c r="H226" s="16"/>
      <c r="I226" s="16"/>
      <c r="J226" s="16"/>
      <c r="K226" s="16"/>
      <c r="L226" s="10"/>
      <c r="M226" s="10"/>
      <c r="N226" s="17"/>
      <c r="O226" s="10" t="str">
        <f t="shared" si="96"/>
        <v xml:space="preserve"> </v>
      </c>
      <c r="P226" s="10" t="str">
        <f t="shared" si="118"/>
        <v xml:space="preserve"> </v>
      </c>
      <c r="Q226" s="10" t="str">
        <f t="shared" si="118"/>
        <v xml:space="preserve"> </v>
      </c>
      <c r="R226" s="10" t="str">
        <f t="shared" si="118"/>
        <v xml:space="preserve"> </v>
      </c>
      <c r="S226" s="10" t="str">
        <f t="shared" si="118"/>
        <v xml:space="preserve"> </v>
      </c>
      <c r="T226" s="10" t="str">
        <f t="shared" si="118"/>
        <v xml:space="preserve"> </v>
      </c>
    </row>
    <row r="227" spans="1:20" x14ac:dyDescent="0.35">
      <c r="A227" s="11">
        <v>222</v>
      </c>
      <c r="B227" s="15" t="s">
        <v>28</v>
      </c>
      <c r="C227" s="7" t="s">
        <v>21</v>
      </c>
      <c r="D227" s="7">
        <v>2</v>
      </c>
      <c r="E227" s="7">
        <v>1</v>
      </c>
      <c r="F227" s="13">
        <v>2</v>
      </c>
      <c r="G227" s="10">
        <f t="shared" ref="G227:G234" si="125">SUM(H227:N227)</f>
        <v>7.15</v>
      </c>
      <c r="H227" s="16">
        <f>0.75-0.025-0.025</f>
        <v>0.7</v>
      </c>
      <c r="I227" s="16">
        <v>5.75</v>
      </c>
      <c r="J227" s="16">
        <f t="shared" si="122"/>
        <v>0.7</v>
      </c>
      <c r="K227" s="16"/>
      <c r="L227" s="10"/>
      <c r="M227" s="10"/>
      <c r="N227" s="17"/>
      <c r="O227" s="10" t="str">
        <f t="shared" si="96"/>
        <v xml:space="preserve"> </v>
      </c>
      <c r="P227" s="10" t="str">
        <f t="shared" si="118"/>
        <v xml:space="preserve"> </v>
      </c>
      <c r="Q227" s="10">
        <f t="shared" si="118"/>
        <v>28.6</v>
      </c>
      <c r="R227" s="10" t="str">
        <f t="shared" si="118"/>
        <v xml:space="preserve"> </v>
      </c>
      <c r="S227" s="10" t="str">
        <f t="shared" si="118"/>
        <v xml:space="preserve"> </v>
      </c>
      <c r="T227" s="10" t="str">
        <f t="shared" si="118"/>
        <v xml:space="preserve"> </v>
      </c>
    </row>
    <row r="228" spans="1:20" x14ac:dyDescent="0.35">
      <c r="A228" s="11">
        <v>223</v>
      </c>
      <c r="B228" s="15" t="s">
        <v>28</v>
      </c>
      <c r="C228" s="7" t="s">
        <v>22</v>
      </c>
      <c r="D228" s="7">
        <v>2</v>
      </c>
      <c r="E228" s="7">
        <v>1</v>
      </c>
      <c r="F228" s="13">
        <v>1</v>
      </c>
      <c r="G228" s="10">
        <f t="shared" si="125"/>
        <v>7.15</v>
      </c>
      <c r="H228" s="16">
        <f t="shared" si="122"/>
        <v>0.7</v>
      </c>
      <c r="I228" s="16">
        <v>5.75</v>
      </c>
      <c r="J228" s="16">
        <f t="shared" si="122"/>
        <v>0.7</v>
      </c>
      <c r="K228" s="16"/>
      <c r="L228" s="10"/>
      <c r="M228" s="10"/>
      <c r="N228" s="17"/>
      <c r="O228" s="10" t="str">
        <f t="shared" si="96"/>
        <v xml:space="preserve"> </v>
      </c>
      <c r="P228" s="10" t="str">
        <f t="shared" si="118"/>
        <v xml:space="preserve"> </v>
      </c>
      <c r="Q228" s="10" t="str">
        <f t="shared" si="118"/>
        <v xml:space="preserve"> </v>
      </c>
      <c r="R228" s="10">
        <f t="shared" si="118"/>
        <v>14.3</v>
      </c>
      <c r="S228" s="10" t="str">
        <f t="shared" si="118"/>
        <v xml:space="preserve"> </v>
      </c>
      <c r="T228" s="10" t="str">
        <f t="shared" si="118"/>
        <v xml:space="preserve"> </v>
      </c>
    </row>
    <row r="229" spans="1:20" x14ac:dyDescent="0.35">
      <c r="A229" s="11">
        <v>224</v>
      </c>
      <c r="B229" s="15" t="s">
        <v>29</v>
      </c>
      <c r="C229" s="7" t="s">
        <v>21</v>
      </c>
      <c r="D229" s="7">
        <v>2</v>
      </c>
      <c r="E229" s="7">
        <v>1</v>
      </c>
      <c r="F229" s="13">
        <v>2</v>
      </c>
      <c r="G229" s="10">
        <f t="shared" si="125"/>
        <v>7.15</v>
      </c>
      <c r="H229" s="16">
        <f t="shared" si="122"/>
        <v>0.7</v>
      </c>
      <c r="I229" s="16">
        <v>5.75</v>
      </c>
      <c r="J229" s="16">
        <f t="shared" si="122"/>
        <v>0.7</v>
      </c>
      <c r="K229" s="16"/>
      <c r="L229" s="10"/>
      <c r="M229" s="10"/>
      <c r="N229" s="17"/>
      <c r="O229" s="10" t="str">
        <f t="shared" si="96"/>
        <v xml:space="preserve"> </v>
      </c>
      <c r="P229" s="10" t="str">
        <f t="shared" si="118"/>
        <v xml:space="preserve"> </v>
      </c>
      <c r="Q229" s="10">
        <f t="shared" si="118"/>
        <v>28.6</v>
      </c>
      <c r="R229" s="10" t="str">
        <f t="shared" si="118"/>
        <v xml:space="preserve"> </v>
      </c>
      <c r="S229" s="10" t="str">
        <f t="shared" si="118"/>
        <v xml:space="preserve"> </v>
      </c>
      <c r="T229" s="10" t="str">
        <f t="shared" si="118"/>
        <v xml:space="preserve"> </v>
      </c>
    </row>
    <row r="230" spans="1:20" x14ac:dyDescent="0.35">
      <c r="A230" s="11">
        <v>225</v>
      </c>
      <c r="B230" s="15" t="s">
        <v>29</v>
      </c>
      <c r="C230" s="7" t="s">
        <v>22</v>
      </c>
      <c r="D230" s="7">
        <v>2</v>
      </c>
      <c r="E230" s="7">
        <v>1</v>
      </c>
      <c r="F230" s="13">
        <v>1</v>
      </c>
      <c r="G230" s="10">
        <f t="shared" si="125"/>
        <v>7.15</v>
      </c>
      <c r="H230" s="16">
        <f t="shared" si="122"/>
        <v>0.7</v>
      </c>
      <c r="I230" s="16">
        <v>5.75</v>
      </c>
      <c r="J230" s="16">
        <f t="shared" si="122"/>
        <v>0.7</v>
      </c>
      <c r="K230" s="16"/>
      <c r="L230" s="10"/>
      <c r="M230" s="10"/>
      <c r="N230" s="17"/>
      <c r="O230" s="10" t="str">
        <f t="shared" si="96"/>
        <v xml:space="preserve"> </v>
      </c>
      <c r="P230" s="10" t="str">
        <f t="shared" si="118"/>
        <v xml:space="preserve"> </v>
      </c>
      <c r="Q230" s="10" t="str">
        <f t="shared" si="118"/>
        <v xml:space="preserve"> </v>
      </c>
      <c r="R230" s="10">
        <f t="shared" si="118"/>
        <v>14.3</v>
      </c>
      <c r="S230" s="10" t="str">
        <f t="shared" si="118"/>
        <v xml:space="preserve"> </v>
      </c>
      <c r="T230" s="10" t="str">
        <f t="shared" si="118"/>
        <v xml:space="preserve"> </v>
      </c>
    </row>
    <row r="231" spans="1:20" x14ac:dyDescent="0.35">
      <c r="A231" s="11">
        <v>226</v>
      </c>
      <c r="B231" s="15" t="s">
        <v>30</v>
      </c>
      <c r="C231" s="7" t="s">
        <v>24</v>
      </c>
      <c r="D231" s="7">
        <v>2</v>
      </c>
      <c r="E231" s="7">
        <v>1</v>
      </c>
      <c r="F231" s="13">
        <f>ROUND((I227/4)/0.1+1,0)</f>
        <v>15</v>
      </c>
      <c r="G231" s="10">
        <f t="shared" si="125"/>
        <v>2.06</v>
      </c>
      <c r="H231" s="16">
        <f t="shared" ref="H231:H233" si="126">0.3-0.025-0.025</f>
        <v>0.24999999999999997</v>
      </c>
      <c r="I231" s="16">
        <f t="shared" ref="I231:I233" si="127">0.75-0.025-0.025</f>
        <v>0.7</v>
      </c>
      <c r="J231" s="16">
        <f>0.3-0.025-0.025</f>
        <v>0.24999999999999997</v>
      </c>
      <c r="K231" s="16">
        <f t="shared" si="122"/>
        <v>0.7</v>
      </c>
      <c r="L231" s="10">
        <v>0.08</v>
      </c>
      <c r="M231" s="10">
        <v>0.08</v>
      </c>
      <c r="N231" s="17"/>
      <c r="O231" s="10" t="str">
        <f t="shared" si="96"/>
        <v xml:space="preserve"> </v>
      </c>
      <c r="P231" s="10" t="str">
        <f t="shared" si="118"/>
        <v xml:space="preserve"> </v>
      </c>
      <c r="Q231" s="10" t="str">
        <f t="shared" si="118"/>
        <v xml:space="preserve"> </v>
      </c>
      <c r="R231" s="10" t="str">
        <f t="shared" si="118"/>
        <v xml:space="preserve"> </v>
      </c>
      <c r="S231" s="10" t="str">
        <f t="shared" si="118"/>
        <v xml:space="preserve"> </v>
      </c>
      <c r="T231" s="10">
        <f t="shared" si="118"/>
        <v>61.800000000000004</v>
      </c>
    </row>
    <row r="232" spans="1:20" x14ac:dyDescent="0.35">
      <c r="A232" s="11">
        <v>227</v>
      </c>
      <c r="B232" s="15" t="s">
        <v>31</v>
      </c>
      <c r="C232" s="7" t="s">
        <v>24</v>
      </c>
      <c r="D232" s="7">
        <v>2</v>
      </c>
      <c r="E232" s="7">
        <v>1</v>
      </c>
      <c r="F232" s="13">
        <f>ROUND((I227/4)/0.1+1,0)</f>
        <v>15</v>
      </c>
      <c r="G232" s="10">
        <f t="shared" si="125"/>
        <v>2.06</v>
      </c>
      <c r="H232" s="16">
        <f t="shared" si="126"/>
        <v>0.24999999999999997</v>
      </c>
      <c r="I232" s="16">
        <f t="shared" si="127"/>
        <v>0.7</v>
      </c>
      <c r="J232" s="16">
        <f>0.3-0.025-0.025</f>
        <v>0.24999999999999997</v>
      </c>
      <c r="K232" s="16">
        <f t="shared" si="122"/>
        <v>0.7</v>
      </c>
      <c r="L232" s="10">
        <v>0.08</v>
      </c>
      <c r="M232" s="10">
        <v>0.08</v>
      </c>
      <c r="N232" s="17"/>
      <c r="O232" s="10" t="str">
        <f t="shared" si="96"/>
        <v xml:space="preserve"> </v>
      </c>
      <c r="P232" s="10" t="str">
        <f t="shared" si="118"/>
        <v xml:space="preserve"> </v>
      </c>
      <c r="Q232" s="10" t="str">
        <f t="shared" si="118"/>
        <v xml:space="preserve"> </v>
      </c>
      <c r="R232" s="10" t="str">
        <f t="shared" si="118"/>
        <v xml:space="preserve"> </v>
      </c>
      <c r="S232" s="10" t="str">
        <f t="shared" si="118"/>
        <v xml:space="preserve"> </v>
      </c>
      <c r="T232" s="10">
        <f t="shared" si="118"/>
        <v>61.800000000000004</v>
      </c>
    </row>
    <row r="233" spans="1:20" x14ac:dyDescent="0.35">
      <c r="A233" s="11">
        <v>228</v>
      </c>
      <c r="B233" s="15" t="s">
        <v>32</v>
      </c>
      <c r="C233" s="7" t="s">
        <v>24</v>
      </c>
      <c r="D233" s="7">
        <v>2</v>
      </c>
      <c r="E233" s="7">
        <v>1</v>
      </c>
      <c r="F233" s="13">
        <f>ROUND((I227/2)/0.175+1,0)</f>
        <v>17</v>
      </c>
      <c r="G233" s="10">
        <f t="shared" si="125"/>
        <v>2.06</v>
      </c>
      <c r="H233" s="16">
        <f t="shared" si="126"/>
        <v>0.24999999999999997</v>
      </c>
      <c r="I233" s="16">
        <f t="shared" si="127"/>
        <v>0.7</v>
      </c>
      <c r="J233" s="16">
        <f>0.3-0.025-0.025</f>
        <v>0.24999999999999997</v>
      </c>
      <c r="K233" s="16">
        <f t="shared" si="122"/>
        <v>0.7</v>
      </c>
      <c r="L233" s="10">
        <v>0.08</v>
      </c>
      <c r="M233" s="10">
        <v>0.08</v>
      </c>
      <c r="N233" s="17"/>
      <c r="O233" s="10" t="str">
        <f t="shared" si="96"/>
        <v xml:space="preserve"> </v>
      </c>
      <c r="P233" s="10" t="str">
        <f t="shared" si="118"/>
        <v xml:space="preserve"> </v>
      </c>
      <c r="Q233" s="10" t="str">
        <f t="shared" si="118"/>
        <v xml:space="preserve"> </v>
      </c>
      <c r="R233" s="10" t="str">
        <f t="shared" si="118"/>
        <v xml:space="preserve"> </v>
      </c>
      <c r="S233" s="10" t="str">
        <f t="shared" si="118"/>
        <v xml:space="preserve"> </v>
      </c>
      <c r="T233" s="10">
        <f t="shared" si="118"/>
        <v>70.040000000000006</v>
      </c>
    </row>
    <row r="234" spans="1:20" x14ac:dyDescent="0.35">
      <c r="A234" s="11">
        <v>229</v>
      </c>
      <c r="B234" s="15" t="s">
        <v>33</v>
      </c>
      <c r="C234" s="7" t="s">
        <v>23</v>
      </c>
      <c r="D234" s="7">
        <v>2</v>
      </c>
      <c r="E234" s="7">
        <v>1</v>
      </c>
      <c r="F234" s="13">
        <v>2</v>
      </c>
      <c r="G234" s="10">
        <f t="shared" si="125"/>
        <v>7.15</v>
      </c>
      <c r="H234" s="16">
        <f t="shared" ref="H234:J234" si="128">0.75-0.025-0.025</f>
        <v>0.7</v>
      </c>
      <c r="I234" s="16">
        <v>5.75</v>
      </c>
      <c r="J234" s="16">
        <f t="shared" si="128"/>
        <v>0.7</v>
      </c>
      <c r="K234" s="16"/>
      <c r="L234" s="10"/>
      <c r="M234" s="10"/>
      <c r="N234" s="17"/>
      <c r="O234" s="10" t="str">
        <f t="shared" ref="O234:O289" si="129">IF($C234=O$4,$D234*$E234*$F234*$G234," ")</f>
        <v xml:space="preserve"> </v>
      </c>
      <c r="P234" s="10" t="str">
        <f t="shared" si="118"/>
        <v xml:space="preserve"> </v>
      </c>
      <c r="Q234" s="10" t="str">
        <f t="shared" si="118"/>
        <v xml:space="preserve"> </v>
      </c>
      <c r="R234" s="10" t="str">
        <f t="shared" si="118"/>
        <v xml:space="preserve"> </v>
      </c>
      <c r="S234" s="10">
        <f t="shared" si="118"/>
        <v>28.6</v>
      </c>
      <c r="T234" s="10" t="str">
        <f t="shared" si="118"/>
        <v xml:space="preserve"> </v>
      </c>
    </row>
    <row r="235" spans="1:20" x14ac:dyDescent="0.35">
      <c r="A235" s="11"/>
      <c r="B235" s="15"/>
      <c r="C235" s="7"/>
      <c r="D235" s="7"/>
      <c r="E235" s="7"/>
      <c r="F235" s="13"/>
      <c r="G235" s="10"/>
      <c r="H235" s="16"/>
      <c r="I235" s="16"/>
      <c r="J235" s="16"/>
      <c r="K235" s="16"/>
      <c r="L235" s="10"/>
      <c r="M235" s="10"/>
      <c r="N235" s="17"/>
      <c r="O235" s="10" t="str">
        <f t="shared" si="129"/>
        <v xml:space="preserve"> </v>
      </c>
      <c r="P235" s="10" t="str">
        <f t="shared" si="118"/>
        <v xml:space="preserve"> </v>
      </c>
      <c r="Q235" s="10" t="str">
        <f t="shared" si="118"/>
        <v xml:space="preserve"> </v>
      </c>
      <c r="R235" s="10" t="str">
        <f t="shared" si="118"/>
        <v xml:space="preserve"> </v>
      </c>
      <c r="S235" s="10" t="str">
        <f t="shared" si="118"/>
        <v xml:space="preserve"> </v>
      </c>
      <c r="T235" s="10" t="str">
        <f t="shared" si="118"/>
        <v xml:space="preserve"> </v>
      </c>
    </row>
    <row r="236" spans="1:20" x14ac:dyDescent="0.35">
      <c r="A236" s="11"/>
      <c r="B236" s="6" t="s">
        <v>84</v>
      </c>
      <c r="C236" s="7"/>
      <c r="D236" s="5"/>
      <c r="E236" s="5"/>
      <c r="F236" s="5"/>
      <c r="G236" s="8"/>
      <c r="H236" s="9"/>
      <c r="I236" s="8"/>
      <c r="J236" s="9"/>
      <c r="K236" s="8"/>
      <c r="L236" s="8"/>
      <c r="M236" s="8"/>
      <c r="N236" s="8"/>
      <c r="O236" s="10" t="str">
        <f t="shared" si="129"/>
        <v xml:space="preserve"> </v>
      </c>
      <c r="P236" s="10" t="str">
        <f t="shared" si="118"/>
        <v xml:space="preserve"> </v>
      </c>
      <c r="Q236" s="10" t="str">
        <f t="shared" si="118"/>
        <v xml:space="preserve"> </v>
      </c>
      <c r="R236" s="10" t="str">
        <f t="shared" si="118"/>
        <v xml:space="preserve"> </v>
      </c>
      <c r="S236" s="10" t="str">
        <f t="shared" si="118"/>
        <v xml:space="preserve"> </v>
      </c>
      <c r="T236" s="10" t="str">
        <f t="shared" si="118"/>
        <v xml:space="preserve"> </v>
      </c>
    </row>
    <row r="237" spans="1:20" x14ac:dyDescent="0.35">
      <c r="A237" s="11">
        <v>1</v>
      </c>
      <c r="B237" s="12" t="s">
        <v>76</v>
      </c>
      <c r="C237" s="7"/>
      <c r="D237" s="7"/>
      <c r="E237" s="7"/>
      <c r="F237" s="13"/>
      <c r="G237" s="8"/>
      <c r="H237" s="9"/>
      <c r="I237" s="14"/>
      <c r="J237" s="9"/>
      <c r="K237" s="8"/>
      <c r="L237" s="8"/>
      <c r="M237" s="8"/>
      <c r="N237" s="8"/>
      <c r="O237" s="10" t="str">
        <f t="shared" si="129"/>
        <v xml:space="preserve"> </v>
      </c>
      <c r="P237" s="10" t="str">
        <f t="shared" si="118"/>
        <v xml:space="preserve"> </v>
      </c>
      <c r="Q237" s="10" t="str">
        <f t="shared" si="118"/>
        <v xml:space="preserve"> </v>
      </c>
      <c r="R237" s="10" t="str">
        <f t="shared" si="118"/>
        <v xml:space="preserve"> </v>
      </c>
      <c r="S237" s="10" t="str">
        <f t="shared" si="118"/>
        <v xml:space="preserve"> </v>
      </c>
      <c r="T237" s="10" t="str">
        <f t="shared" si="118"/>
        <v xml:space="preserve"> </v>
      </c>
    </row>
    <row r="238" spans="1:20" x14ac:dyDescent="0.35">
      <c r="A238" s="11">
        <v>2</v>
      </c>
      <c r="B238" s="15" t="s">
        <v>79</v>
      </c>
      <c r="C238" s="7" t="s">
        <v>23</v>
      </c>
      <c r="D238" s="7">
        <v>1</v>
      </c>
      <c r="E238" s="7">
        <v>1</v>
      </c>
      <c r="F238" s="13">
        <f>ROUND(I239/0.15+1,0)</f>
        <v>50</v>
      </c>
      <c r="G238" s="10">
        <f>SUM(H238:N238)</f>
        <v>9.1480000000000015</v>
      </c>
      <c r="H238" s="16">
        <f>0.1*2</f>
        <v>0.2</v>
      </c>
      <c r="I238" s="14">
        <f>7.548-0.05</f>
        <v>7.4980000000000002</v>
      </c>
      <c r="J238" s="16">
        <v>0.8</v>
      </c>
      <c r="K238" s="10">
        <v>0.65</v>
      </c>
      <c r="L238" s="10"/>
      <c r="M238" s="10"/>
      <c r="N238" s="17"/>
      <c r="O238" s="10" t="str">
        <f t="shared" si="129"/>
        <v xml:space="preserve"> </v>
      </c>
      <c r="P238" s="10" t="str">
        <f t="shared" si="118"/>
        <v xml:space="preserve"> </v>
      </c>
      <c r="Q238" s="10" t="str">
        <f t="shared" si="118"/>
        <v xml:space="preserve"> </v>
      </c>
      <c r="R238" s="10" t="str">
        <f t="shared" si="118"/>
        <v xml:space="preserve"> </v>
      </c>
      <c r="S238" s="10">
        <f t="shared" si="118"/>
        <v>457.40000000000009</v>
      </c>
      <c r="T238" s="10" t="str">
        <f t="shared" si="118"/>
        <v xml:space="preserve"> </v>
      </c>
    </row>
    <row r="239" spans="1:20" x14ac:dyDescent="0.35">
      <c r="A239" s="11">
        <v>3</v>
      </c>
      <c r="B239" s="15" t="s">
        <v>77</v>
      </c>
      <c r="C239" s="7" t="s">
        <v>23</v>
      </c>
      <c r="D239" s="7">
        <v>1</v>
      </c>
      <c r="E239" s="7">
        <v>1</v>
      </c>
      <c r="F239" s="13">
        <f>ROUND(I238/0.15+1,0)</f>
        <v>51</v>
      </c>
      <c r="G239" s="10">
        <f>SUM(H239:N239)</f>
        <v>13.200000000000001</v>
      </c>
      <c r="H239" s="16">
        <f>0.1*2</f>
        <v>0.2</v>
      </c>
      <c r="I239" s="14">
        <f>7.4-0.05</f>
        <v>7.3500000000000005</v>
      </c>
      <c r="J239" s="16">
        <f>(1.2-0.025)*2</f>
        <v>2.35</v>
      </c>
      <c r="K239" s="10">
        <f>0.15*2</f>
        <v>0.3</v>
      </c>
      <c r="L239" s="10">
        <f>1.5*2</f>
        <v>3</v>
      </c>
      <c r="M239" s="10"/>
      <c r="N239" s="17"/>
      <c r="O239" s="10" t="str">
        <f t="shared" si="129"/>
        <v xml:space="preserve"> </v>
      </c>
      <c r="P239" s="10" t="str">
        <f t="shared" si="118"/>
        <v xml:space="preserve"> </v>
      </c>
      <c r="Q239" s="10" t="str">
        <f t="shared" si="118"/>
        <v xml:space="preserve"> </v>
      </c>
      <c r="R239" s="10" t="str">
        <f t="shared" si="118"/>
        <v xml:space="preserve"> </v>
      </c>
      <c r="S239" s="10">
        <f t="shared" si="118"/>
        <v>673.2</v>
      </c>
      <c r="T239" s="10" t="str">
        <f t="shared" si="118"/>
        <v xml:space="preserve"> </v>
      </c>
    </row>
    <row r="240" spans="1:20" x14ac:dyDescent="0.35">
      <c r="A240" s="11">
        <v>4</v>
      </c>
      <c r="B240" s="15" t="s">
        <v>87</v>
      </c>
      <c r="C240" s="7" t="s">
        <v>23</v>
      </c>
      <c r="D240" s="7">
        <v>1</v>
      </c>
      <c r="E240" s="7">
        <v>1</v>
      </c>
      <c r="F240" s="13">
        <f>ROUND(I239/0.15+1,0)</f>
        <v>50</v>
      </c>
      <c r="G240" s="10">
        <f>SUM(H240:N240)</f>
        <v>2.4500000000000002</v>
      </c>
      <c r="H240" s="16">
        <v>1.2</v>
      </c>
      <c r="I240" s="14">
        <v>0.3</v>
      </c>
      <c r="J240" s="16">
        <v>0.95</v>
      </c>
      <c r="K240" s="10"/>
      <c r="L240" s="10"/>
      <c r="M240" s="10"/>
      <c r="N240" s="17"/>
      <c r="O240" s="10" t="str">
        <f t="shared" si="129"/>
        <v xml:space="preserve"> </v>
      </c>
      <c r="P240" s="10" t="str">
        <f t="shared" si="118"/>
        <v xml:space="preserve"> </v>
      </c>
      <c r="Q240" s="10" t="str">
        <f t="shared" si="118"/>
        <v xml:space="preserve"> </v>
      </c>
      <c r="R240" s="10" t="str">
        <f t="shared" si="118"/>
        <v xml:space="preserve"> </v>
      </c>
      <c r="S240" s="10">
        <f t="shared" si="118"/>
        <v>122.50000000000001</v>
      </c>
      <c r="T240" s="10" t="str">
        <f t="shared" si="118"/>
        <v xml:space="preserve"> </v>
      </c>
    </row>
    <row r="241" spans="1:20" x14ac:dyDescent="0.35">
      <c r="A241" s="11">
        <v>5</v>
      </c>
      <c r="B241" s="15" t="s">
        <v>87</v>
      </c>
      <c r="C241" s="7" t="s">
        <v>23</v>
      </c>
      <c r="D241" s="7">
        <v>1</v>
      </c>
      <c r="E241" s="7">
        <v>2</v>
      </c>
      <c r="F241" s="13">
        <f>ROUND(1.35/0.15+1,0)</f>
        <v>10</v>
      </c>
      <c r="G241" s="10">
        <f>SUM(H241:N241)</f>
        <v>1.7</v>
      </c>
      <c r="H241" s="16">
        <v>0</v>
      </c>
      <c r="I241" s="14">
        <v>1.7</v>
      </c>
      <c r="J241" s="16">
        <v>0</v>
      </c>
      <c r="K241" s="10"/>
      <c r="L241" s="10"/>
      <c r="M241" s="10"/>
      <c r="N241" s="17"/>
      <c r="O241" s="10" t="str">
        <f t="shared" si="129"/>
        <v xml:space="preserve"> </v>
      </c>
      <c r="P241" s="10" t="str">
        <f t="shared" si="118"/>
        <v xml:space="preserve"> </v>
      </c>
      <c r="Q241" s="10" t="str">
        <f t="shared" si="118"/>
        <v xml:space="preserve"> </v>
      </c>
      <c r="R241" s="10" t="str">
        <f t="shared" si="118"/>
        <v xml:space="preserve"> </v>
      </c>
      <c r="S241" s="10">
        <f t="shared" si="118"/>
        <v>34</v>
      </c>
      <c r="T241" s="10" t="str">
        <f t="shared" si="118"/>
        <v xml:space="preserve"> </v>
      </c>
    </row>
    <row r="242" spans="1:20" x14ac:dyDescent="0.35">
      <c r="A242" s="11">
        <v>6</v>
      </c>
      <c r="B242" s="15" t="s">
        <v>88</v>
      </c>
      <c r="C242" s="7" t="s">
        <v>24</v>
      </c>
      <c r="D242" s="7">
        <v>1</v>
      </c>
      <c r="E242" s="7">
        <v>1</v>
      </c>
      <c r="F242" s="13">
        <f>ROUND(0.8/0.2+1,0)</f>
        <v>5</v>
      </c>
      <c r="G242" s="10">
        <f t="shared" ref="G242:G249" si="130">SUM(H242:N242)</f>
        <v>7.5979999999999999</v>
      </c>
      <c r="H242" s="16">
        <f>0.1</f>
        <v>0.1</v>
      </c>
      <c r="I242" s="14">
        <f>7.548-0.05</f>
        <v>7.4980000000000002</v>
      </c>
      <c r="J242" s="16"/>
      <c r="K242" s="10"/>
      <c r="L242" s="10"/>
      <c r="M242" s="10"/>
      <c r="N242" s="17"/>
      <c r="O242" s="10" t="str">
        <f t="shared" si="129"/>
        <v xml:space="preserve"> </v>
      </c>
      <c r="P242" s="10" t="str">
        <f t="shared" si="118"/>
        <v xml:space="preserve"> </v>
      </c>
      <c r="Q242" s="10" t="str">
        <f t="shared" si="118"/>
        <v xml:space="preserve"> </v>
      </c>
      <c r="R242" s="10" t="str">
        <f t="shared" si="118"/>
        <v xml:space="preserve"> </v>
      </c>
      <c r="S242" s="10" t="str">
        <f t="shared" si="118"/>
        <v xml:space="preserve"> </v>
      </c>
      <c r="T242" s="10">
        <f t="shared" si="118"/>
        <v>37.99</v>
      </c>
    </row>
    <row r="243" spans="1:20" x14ac:dyDescent="0.35">
      <c r="A243" s="11">
        <v>7</v>
      </c>
      <c r="B243" s="15" t="s">
        <v>88</v>
      </c>
      <c r="C243" s="7" t="s">
        <v>24</v>
      </c>
      <c r="D243" s="7">
        <v>1</v>
      </c>
      <c r="E243" s="7">
        <v>1</v>
      </c>
      <c r="F243" s="13">
        <f>ROUND(1.2/0.2+1,0)</f>
        <v>7</v>
      </c>
      <c r="G243" s="10">
        <f t="shared" si="130"/>
        <v>7.5979999999999999</v>
      </c>
      <c r="H243" s="16">
        <f t="shared" ref="H243:H249" si="131">0.1</f>
        <v>0.1</v>
      </c>
      <c r="I243" s="14">
        <f t="shared" ref="I243:I245" si="132">7.548-0.05</f>
        <v>7.4980000000000002</v>
      </c>
      <c r="J243" s="16"/>
      <c r="K243" s="10"/>
      <c r="L243" s="10"/>
      <c r="M243" s="10"/>
      <c r="N243" s="17"/>
      <c r="O243" s="10" t="str">
        <f t="shared" si="129"/>
        <v xml:space="preserve"> </v>
      </c>
      <c r="P243" s="10" t="str">
        <f t="shared" si="118"/>
        <v xml:space="preserve"> </v>
      </c>
      <c r="Q243" s="10" t="str">
        <f t="shared" si="118"/>
        <v xml:space="preserve"> </v>
      </c>
      <c r="R243" s="10" t="str">
        <f t="shared" si="118"/>
        <v xml:space="preserve"> </v>
      </c>
      <c r="S243" s="10" t="str">
        <f t="shared" si="118"/>
        <v xml:space="preserve"> </v>
      </c>
      <c r="T243" s="10">
        <f t="shared" si="118"/>
        <v>53.186</v>
      </c>
    </row>
    <row r="244" spans="1:20" x14ac:dyDescent="0.35">
      <c r="A244" s="11">
        <v>8</v>
      </c>
      <c r="B244" s="15" t="s">
        <v>88</v>
      </c>
      <c r="C244" s="7" t="s">
        <v>24</v>
      </c>
      <c r="D244" s="7">
        <v>1</v>
      </c>
      <c r="E244" s="7">
        <v>1</v>
      </c>
      <c r="F244" s="13">
        <f>ROUND(0.95/0.2+1,0)</f>
        <v>6</v>
      </c>
      <c r="G244" s="10">
        <f t="shared" si="130"/>
        <v>7.5979999999999999</v>
      </c>
      <c r="H244" s="16">
        <f t="shared" si="131"/>
        <v>0.1</v>
      </c>
      <c r="I244" s="14">
        <f t="shared" si="132"/>
        <v>7.4980000000000002</v>
      </c>
      <c r="J244" s="16"/>
      <c r="K244" s="10"/>
      <c r="L244" s="10"/>
      <c r="M244" s="10"/>
      <c r="N244" s="17"/>
      <c r="O244" s="10" t="str">
        <f t="shared" si="129"/>
        <v xml:space="preserve"> </v>
      </c>
      <c r="P244" s="10" t="str">
        <f t="shared" si="118"/>
        <v xml:space="preserve"> </v>
      </c>
      <c r="Q244" s="10" t="str">
        <f t="shared" si="118"/>
        <v xml:space="preserve"> </v>
      </c>
      <c r="R244" s="10" t="str">
        <f t="shared" si="118"/>
        <v xml:space="preserve"> </v>
      </c>
      <c r="S244" s="10" t="str">
        <f t="shared" si="118"/>
        <v xml:space="preserve"> </v>
      </c>
      <c r="T244" s="10">
        <f t="shared" si="118"/>
        <v>45.588000000000001</v>
      </c>
    </row>
    <row r="245" spans="1:20" x14ac:dyDescent="0.35">
      <c r="A245" s="11">
        <v>9</v>
      </c>
      <c r="B245" s="15" t="s">
        <v>88</v>
      </c>
      <c r="C245" s="7" t="s">
        <v>24</v>
      </c>
      <c r="D245" s="7">
        <v>1</v>
      </c>
      <c r="E245" s="7">
        <v>1</v>
      </c>
      <c r="F245" s="13">
        <f>ROUND(0.5/0.2+1,0)</f>
        <v>4</v>
      </c>
      <c r="G245" s="10">
        <f t="shared" si="130"/>
        <v>7.5979999999999999</v>
      </c>
      <c r="H245" s="16">
        <f t="shared" si="131"/>
        <v>0.1</v>
      </c>
      <c r="I245" s="14">
        <f t="shared" si="132"/>
        <v>7.4980000000000002</v>
      </c>
      <c r="J245" s="16"/>
      <c r="K245" s="10"/>
      <c r="L245" s="10"/>
      <c r="M245" s="10"/>
      <c r="N245" s="17"/>
      <c r="O245" s="10" t="str">
        <f t="shared" si="129"/>
        <v xml:space="preserve"> </v>
      </c>
      <c r="P245" s="10" t="str">
        <f t="shared" si="118"/>
        <v xml:space="preserve"> </v>
      </c>
      <c r="Q245" s="10" t="str">
        <f t="shared" si="118"/>
        <v xml:space="preserve"> </v>
      </c>
      <c r="R245" s="10" t="str">
        <f t="shared" si="118"/>
        <v xml:space="preserve"> </v>
      </c>
      <c r="S245" s="10" t="str">
        <f t="shared" si="118"/>
        <v xml:space="preserve"> </v>
      </c>
      <c r="T245" s="10">
        <f t="shared" si="118"/>
        <v>30.391999999999999</v>
      </c>
    </row>
    <row r="246" spans="1:20" x14ac:dyDescent="0.35">
      <c r="A246" s="11">
        <v>10</v>
      </c>
      <c r="B246" s="15" t="s">
        <v>88</v>
      </c>
      <c r="C246" s="7" t="s">
        <v>24</v>
      </c>
      <c r="D246" s="7">
        <v>1</v>
      </c>
      <c r="E246" s="7">
        <v>1</v>
      </c>
      <c r="F246" s="13">
        <f>ROUND(1.5/0.2+1,0)</f>
        <v>9</v>
      </c>
      <c r="G246" s="10">
        <f t="shared" si="130"/>
        <v>7.45</v>
      </c>
      <c r="H246" s="16">
        <f t="shared" si="131"/>
        <v>0.1</v>
      </c>
      <c r="I246" s="14">
        <f>7.4-0.05</f>
        <v>7.3500000000000005</v>
      </c>
      <c r="J246" s="16"/>
      <c r="K246" s="10"/>
      <c r="L246" s="10"/>
      <c r="M246" s="10"/>
      <c r="N246" s="17"/>
      <c r="O246" s="10" t="str">
        <f t="shared" si="129"/>
        <v xml:space="preserve"> </v>
      </c>
      <c r="P246" s="10" t="str">
        <f t="shared" si="118"/>
        <v xml:space="preserve"> </v>
      </c>
      <c r="Q246" s="10" t="str">
        <f t="shared" si="118"/>
        <v xml:space="preserve"> </v>
      </c>
      <c r="R246" s="10" t="str">
        <f t="shared" si="118"/>
        <v xml:space="preserve"> </v>
      </c>
      <c r="S246" s="10" t="str">
        <f t="shared" si="118"/>
        <v xml:space="preserve"> </v>
      </c>
      <c r="T246" s="10">
        <f t="shared" si="118"/>
        <v>67.05</v>
      </c>
    </row>
    <row r="247" spans="1:20" x14ac:dyDescent="0.35">
      <c r="A247" s="11">
        <v>11</v>
      </c>
      <c r="B247" s="15" t="s">
        <v>88</v>
      </c>
      <c r="C247" s="7" t="s">
        <v>24</v>
      </c>
      <c r="D247" s="7">
        <v>1</v>
      </c>
      <c r="E247" s="7">
        <v>1</v>
      </c>
      <c r="F247" s="13">
        <f t="shared" ref="F247" si="133">ROUND(1.5/0.2+1,0)</f>
        <v>9</v>
      </c>
      <c r="G247" s="10">
        <f t="shared" si="130"/>
        <v>7.45</v>
      </c>
      <c r="H247" s="16">
        <f t="shared" si="131"/>
        <v>0.1</v>
      </c>
      <c r="I247" s="14">
        <f t="shared" ref="I247:I249" si="134">7.4-0.05</f>
        <v>7.3500000000000005</v>
      </c>
      <c r="J247" s="16"/>
      <c r="K247" s="10"/>
      <c r="L247" s="10"/>
      <c r="M247" s="10"/>
      <c r="N247" s="17"/>
      <c r="O247" s="10" t="str">
        <f t="shared" si="129"/>
        <v xml:space="preserve"> </v>
      </c>
      <c r="P247" s="10" t="str">
        <f t="shared" si="118"/>
        <v xml:space="preserve"> </v>
      </c>
      <c r="Q247" s="10" t="str">
        <f t="shared" si="118"/>
        <v xml:space="preserve"> </v>
      </c>
      <c r="R247" s="10" t="str">
        <f t="shared" si="118"/>
        <v xml:space="preserve"> </v>
      </c>
      <c r="S247" s="10" t="str">
        <f t="shared" si="118"/>
        <v xml:space="preserve"> </v>
      </c>
      <c r="T247" s="10">
        <f t="shared" si="118"/>
        <v>67.05</v>
      </c>
    </row>
    <row r="248" spans="1:20" x14ac:dyDescent="0.35">
      <c r="A248" s="11">
        <v>12</v>
      </c>
      <c r="B248" s="15" t="s">
        <v>88</v>
      </c>
      <c r="C248" s="7" t="s">
        <v>24</v>
      </c>
      <c r="D248" s="7">
        <v>1</v>
      </c>
      <c r="E248" s="7">
        <v>1</v>
      </c>
      <c r="F248" s="13">
        <f>ROUND(1.05/0.2+1,0)</f>
        <v>6</v>
      </c>
      <c r="G248" s="10">
        <f t="shared" si="130"/>
        <v>7.45</v>
      </c>
      <c r="H248" s="16">
        <f t="shared" si="131"/>
        <v>0.1</v>
      </c>
      <c r="I248" s="14">
        <f t="shared" si="134"/>
        <v>7.3500000000000005</v>
      </c>
      <c r="J248" s="16"/>
      <c r="K248" s="10"/>
      <c r="L248" s="10"/>
      <c r="M248" s="10"/>
      <c r="N248" s="17"/>
      <c r="O248" s="10" t="str">
        <f t="shared" si="129"/>
        <v xml:space="preserve"> </v>
      </c>
      <c r="P248" s="10" t="str">
        <f t="shared" si="118"/>
        <v xml:space="preserve"> </v>
      </c>
      <c r="Q248" s="10" t="str">
        <f t="shared" si="118"/>
        <v xml:space="preserve"> </v>
      </c>
      <c r="R248" s="10" t="str">
        <f t="shared" si="118"/>
        <v xml:space="preserve"> </v>
      </c>
      <c r="S248" s="10" t="str">
        <f t="shared" si="118"/>
        <v xml:space="preserve"> </v>
      </c>
      <c r="T248" s="10">
        <f t="shared" si="118"/>
        <v>44.7</v>
      </c>
    </row>
    <row r="249" spans="1:20" x14ac:dyDescent="0.35">
      <c r="A249" s="11">
        <v>13</v>
      </c>
      <c r="B249" s="15" t="s">
        <v>88</v>
      </c>
      <c r="C249" s="7" t="s">
        <v>24</v>
      </c>
      <c r="D249" s="7">
        <v>1</v>
      </c>
      <c r="E249" s="7">
        <v>1</v>
      </c>
      <c r="F249" s="13">
        <f>ROUND(1.17/0.2+1,0)</f>
        <v>7</v>
      </c>
      <c r="G249" s="10">
        <f t="shared" si="130"/>
        <v>7.45</v>
      </c>
      <c r="H249" s="16">
        <f t="shared" si="131"/>
        <v>0.1</v>
      </c>
      <c r="I249" s="14">
        <f t="shared" si="134"/>
        <v>7.3500000000000005</v>
      </c>
      <c r="J249" s="16"/>
      <c r="K249" s="10"/>
      <c r="L249" s="10"/>
      <c r="M249" s="10"/>
      <c r="N249" s="17"/>
      <c r="O249" s="10" t="str">
        <f t="shared" si="129"/>
        <v xml:space="preserve"> </v>
      </c>
      <c r="P249" s="10" t="str">
        <f t="shared" si="118"/>
        <v xml:space="preserve"> </v>
      </c>
      <c r="Q249" s="10" t="str">
        <f t="shared" si="118"/>
        <v xml:space="preserve"> </v>
      </c>
      <c r="R249" s="10" t="str">
        <f t="shared" si="118"/>
        <v xml:space="preserve"> </v>
      </c>
      <c r="S249" s="10" t="str">
        <f t="shared" si="118"/>
        <v xml:space="preserve"> </v>
      </c>
      <c r="T249" s="10">
        <f t="shared" si="118"/>
        <v>52.15</v>
      </c>
    </row>
    <row r="250" spans="1:20" x14ac:dyDescent="0.35">
      <c r="A250" s="11">
        <v>14</v>
      </c>
      <c r="B250" s="12" t="s">
        <v>86</v>
      </c>
      <c r="C250" s="7"/>
      <c r="D250" s="7"/>
      <c r="E250" s="7"/>
      <c r="F250" s="13"/>
      <c r="G250" s="10"/>
      <c r="H250" s="16"/>
      <c r="I250" s="14"/>
      <c r="J250" s="16"/>
      <c r="K250" s="10"/>
      <c r="L250" s="10"/>
      <c r="M250" s="10"/>
      <c r="N250" s="17"/>
      <c r="O250" s="10" t="str">
        <f t="shared" si="129"/>
        <v xml:space="preserve"> </v>
      </c>
      <c r="P250" s="10" t="str">
        <f t="shared" si="118"/>
        <v xml:space="preserve"> </v>
      </c>
      <c r="Q250" s="10" t="str">
        <f t="shared" si="118"/>
        <v xml:space="preserve"> </v>
      </c>
      <c r="R250" s="10" t="str">
        <f t="shared" si="118"/>
        <v xml:space="preserve"> </v>
      </c>
      <c r="S250" s="10" t="str">
        <f t="shared" si="118"/>
        <v xml:space="preserve"> </v>
      </c>
      <c r="T250" s="10" t="str">
        <f t="shared" si="118"/>
        <v xml:space="preserve"> </v>
      </c>
    </row>
    <row r="251" spans="1:20" x14ac:dyDescent="0.35">
      <c r="A251" s="11">
        <v>15</v>
      </c>
      <c r="B251" s="15" t="s">
        <v>79</v>
      </c>
      <c r="C251" s="7" t="s">
        <v>23</v>
      </c>
      <c r="D251" s="7">
        <v>1</v>
      </c>
      <c r="E251" s="7">
        <v>1</v>
      </c>
      <c r="F251" s="13">
        <f>ROUND(I252/0.15+1,0)</f>
        <v>43</v>
      </c>
      <c r="G251" s="10">
        <f>SUM(H251:N251)</f>
        <v>9.9039999999999999</v>
      </c>
      <c r="H251" s="16">
        <f>0.1*2</f>
        <v>0.2</v>
      </c>
      <c r="I251" s="14">
        <f>5.452-0.05</f>
        <v>5.4020000000000001</v>
      </c>
      <c r="J251" s="16">
        <f>1.05*2</f>
        <v>2.1</v>
      </c>
      <c r="K251" s="10">
        <f>1.102-0.025</f>
        <v>1.0770000000000002</v>
      </c>
      <c r="L251" s="10">
        <f>1.15-0.025</f>
        <v>1.125</v>
      </c>
      <c r="M251" s="10"/>
      <c r="N251" s="17"/>
      <c r="O251" s="10" t="str">
        <f t="shared" si="129"/>
        <v xml:space="preserve"> </v>
      </c>
      <c r="P251" s="10" t="str">
        <f t="shared" si="118"/>
        <v xml:space="preserve"> </v>
      </c>
      <c r="Q251" s="10" t="str">
        <f t="shared" si="118"/>
        <v xml:space="preserve"> </v>
      </c>
      <c r="R251" s="10" t="str">
        <f t="shared" si="118"/>
        <v xml:space="preserve"> </v>
      </c>
      <c r="S251" s="10">
        <f t="shared" si="118"/>
        <v>425.87200000000001</v>
      </c>
      <c r="T251" s="10" t="str">
        <f t="shared" si="118"/>
        <v xml:space="preserve"> </v>
      </c>
    </row>
    <row r="252" spans="1:20" x14ac:dyDescent="0.35">
      <c r="A252" s="11">
        <v>16</v>
      </c>
      <c r="B252" s="15" t="s">
        <v>77</v>
      </c>
      <c r="C252" s="7" t="s">
        <v>23</v>
      </c>
      <c r="D252" s="7">
        <v>1</v>
      </c>
      <c r="E252" s="7">
        <v>1</v>
      </c>
      <c r="F252" s="13">
        <f>ROUND(I251/0.15+1,0)</f>
        <v>37</v>
      </c>
      <c r="G252" s="10">
        <f>SUM(H252:N252)</f>
        <v>12.450000000000001</v>
      </c>
      <c r="H252" s="16">
        <f>0.1*2</f>
        <v>0.2</v>
      </c>
      <c r="I252" s="14">
        <f>6.35-0.05</f>
        <v>6.3</v>
      </c>
      <c r="J252" s="16">
        <f>1.5*2</f>
        <v>3</v>
      </c>
      <c r="K252" s="10">
        <f>0.3-0.025</f>
        <v>0.27499999999999997</v>
      </c>
      <c r="L252" s="10">
        <f>(1.2+1.5)-0.025</f>
        <v>2.6750000000000003</v>
      </c>
      <c r="M252" s="10"/>
      <c r="N252" s="17"/>
      <c r="O252" s="10" t="str">
        <f t="shared" si="129"/>
        <v xml:space="preserve"> </v>
      </c>
      <c r="P252" s="10" t="str">
        <f t="shared" si="118"/>
        <v xml:space="preserve"> </v>
      </c>
      <c r="Q252" s="10" t="str">
        <f t="shared" si="118"/>
        <v xml:space="preserve"> </v>
      </c>
      <c r="R252" s="10" t="str">
        <f t="shared" si="118"/>
        <v xml:space="preserve"> </v>
      </c>
      <c r="S252" s="10">
        <f t="shared" si="118"/>
        <v>460.65000000000003</v>
      </c>
      <c r="T252" s="10" t="str">
        <f t="shared" si="118"/>
        <v xml:space="preserve"> </v>
      </c>
    </row>
    <row r="253" spans="1:20" x14ac:dyDescent="0.35">
      <c r="A253" s="11">
        <v>17</v>
      </c>
      <c r="B253" s="15" t="s">
        <v>88</v>
      </c>
      <c r="C253" s="7" t="s">
        <v>24</v>
      </c>
      <c r="D253" s="7">
        <v>1</v>
      </c>
      <c r="E253" s="7">
        <v>1</v>
      </c>
      <c r="F253" s="13">
        <f>ROUND(0.75/0.2+1,0)</f>
        <v>5</v>
      </c>
      <c r="G253" s="10">
        <f t="shared" ref="G253:G259" si="135">SUM(H253:N253)</f>
        <v>5.5</v>
      </c>
      <c r="H253" s="16">
        <f>0.1</f>
        <v>0.1</v>
      </c>
      <c r="I253" s="14">
        <v>5.4</v>
      </c>
      <c r="J253" s="16"/>
      <c r="K253" s="10"/>
      <c r="L253" s="10"/>
      <c r="M253" s="10"/>
      <c r="N253" s="17"/>
      <c r="O253" s="10" t="str">
        <f t="shared" si="129"/>
        <v xml:space="preserve"> </v>
      </c>
      <c r="P253" s="10" t="str">
        <f t="shared" si="118"/>
        <v xml:space="preserve"> </v>
      </c>
      <c r="Q253" s="10" t="str">
        <f t="shared" si="118"/>
        <v xml:space="preserve"> </v>
      </c>
      <c r="R253" s="10" t="str">
        <f t="shared" si="118"/>
        <v xml:space="preserve"> </v>
      </c>
      <c r="S253" s="10" t="str">
        <f t="shared" si="118"/>
        <v xml:space="preserve"> </v>
      </c>
      <c r="T253" s="10">
        <f t="shared" si="118"/>
        <v>27.5</v>
      </c>
    </row>
    <row r="254" spans="1:20" x14ac:dyDescent="0.35">
      <c r="A254" s="11">
        <v>18</v>
      </c>
      <c r="B254" s="15" t="s">
        <v>88</v>
      </c>
      <c r="C254" s="7" t="s">
        <v>24</v>
      </c>
      <c r="D254" s="7">
        <v>1</v>
      </c>
      <c r="E254" s="7">
        <v>1</v>
      </c>
      <c r="F254" s="13">
        <f>ROUND(0.8/0.2+1,0)</f>
        <v>5</v>
      </c>
      <c r="G254" s="10">
        <f t="shared" si="135"/>
        <v>5.5</v>
      </c>
      <c r="H254" s="16">
        <f t="shared" ref="H254:H259" si="136">0.1</f>
        <v>0.1</v>
      </c>
      <c r="I254" s="14">
        <v>5.4</v>
      </c>
      <c r="J254" s="16"/>
      <c r="K254" s="10"/>
      <c r="L254" s="10"/>
      <c r="M254" s="10"/>
      <c r="N254" s="17"/>
      <c r="O254" s="10" t="str">
        <f t="shared" si="129"/>
        <v xml:space="preserve"> </v>
      </c>
      <c r="P254" s="10" t="str">
        <f t="shared" si="118"/>
        <v xml:space="preserve"> </v>
      </c>
      <c r="Q254" s="10" t="str">
        <f t="shared" si="118"/>
        <v xml:space="preserve"> </v>
      </c>
      <c r="R254" s="10" t="str">
        <f t="shared" si="118"/>
        <v xml:space="preserve"> </v>
      </c>
      <c r="S254" s="10" t="str">
        <f t="shared" si="118"/>
        <v xml:space="preserve"> </v>
      </c>
      <c r="T254" s="10">
        <f t="shared" si="118"/>
        <v>27.5</v>
      </c>
    </row>
    <row r="255" spans="1:20" x14ac:dyDescent="0.35">
      <c r="A255" s="11">
        <v>19</v>
      </c>
      <c r="B255" s="15" t="s">
        <v>88</v>
      </c>
      <c r="C255" s="7" t="s">
        <v>24</v>
      </c>
      <c r="D255" s="7">
        <v>1</v>
      </c>
      <c r="E255" s="7">
        <v>1</v>
      </c>
      <c r="F255" s="13">
        <f>ROUND(1.05/0.2+1,0)</f>
        <v>6</v>
      </c>
      <c r="G255" s="10">
        <f t="shared" si="135"/>
        <v>5.5</v>
      </c>
      <c r="H255" s="16">
        <f t="shared" si="136"/>
        <v>0.1</v>
      </c>
      <c r="I255" s="14">
        <v>5.4</v>
      </c>
      <c r="J255" s="16"/>
      <c r="K255" s="10"/>
      <c r="L255" s="10"/>
      <c r="M255" s="10"/>
      <c r="N255" s="17"/>
      <c r="O255" s="10" t="str">
        <f t="shared" si="129"/>
        <v xml:space="preserve"> </v>
      </c>
      <c r="P255" s="10" t="str">
        <f t="shared" si="118"/>
        <v xml:space="preserve"> </v>
      </c>
      <c r="Q255" s="10" t="str">
        <f t="shared" si="118"/>
        <v xml:space="preserve"> </v>
      </c>
      <c r="R255" s="10" t="str">
        <f t="shared" si="118"/>
        <v xml:space="preserve"> </v>
      </c>
      <c r="S255" s="10" t="str">
        <f t="shared" si="118"/>
        <v xml:space="preserve"> </v>
      </c>
      <c r="T255" s="10">
        <f t="shared" si="118"/>
        <v>33</v>
      </c>
    </row>
    <row r="256" spans="1:20" x14ac:dyDescent="0.35">
      <c r="A256" s="11">
        <v>20</v>
      </c>
      <c r="B256" s="15" t="s">
        <v>88</v>
      </c>
      <c r="C256" s="7" t="s">
        <v>24</v>
      </c>
      <c r="D256" s="7">
        <v>1</v>
      </c>
      <c r="E256" s="7">
        <v>1</v>
      </c>
      <c r="F256" s="13">
        <f>ROUND(1.05/0.2+1,0)</f>
        <v>6</v>
      </c>
      <c r="G256" s="10">
        <f t="shared" si="135"/>
        <v>5.5</v>
      </c>
      <c r="H256" s="16">
        <f t="shared" si="136"/>
        <v>0.1</v>
      </c>
      <c r="I256" s="14">
        <v>5.4</v>
      </c>
      <c r="J256" s="16"/>
      <c r="K256" s="10"/>
      <c r="L256" s="10"/>
      <c r="M256" s="10"/>
      <c r="N256" s="17"/>
      <c r="O256" s="10" t="str">
        <f t="shared" si="129"/>
        <v xml:space="preserve"> </v>
      </c>
      <c r="P256" s="10" t="str">
        <f t="shared" si="118"/>
        <v xml:space="preserve"> </v>
      </c>
      <c r="Q256" s="10" t="str">
        <f t="shared" si="118"/>
        <v xml:space="preserve"> </v>
      </c>
      <c r="R256" s="10" t="str">
        <f t="shared" si="118"/>
        <v xml:space="preserve"> </v>
      </c>
      <c r="S256" s="10" t="str">
        <f t="shared" si="118"/>
        <v xml:space="preserve"> </v>
      </c>
      <c r="T256" s="10">
        <f t="shared" si="118"/>
        <v>33</v>
      </c>
    </row>
    <row r="257" spans="1:20" x14ac:dyDescent="0.35">
      <c r="A257" s="11">
        <v>21</v>
      </c>
      <c r="B257" s="15" t="s">
        <v>88</v>
      </c>
      <c r="C257" s="7" t="s">
        <v>24</v>
      </c>
      <c r="D257" s="7">
        <v>1</v>
      </c>
      <c r="E257" s="7">
        <v>1</v>
      </c>
      <c r="F257" s="13">
        <f>ROUND(1.5/0.2+1,0)</f>
        <v>9</v>
      </c>
      <c r="G257" s="10">
        <f t="shared" si="135"/>
        <v>6.3999999999999995</v>
      </c>
      <c r="H257" s="16">
        <f t="shared" si="136"/>
        <v>0.1</v>
      </c>
      <c r="I257" s="14">
        <f>6.35-0.05</f>
        <v>6.3</v>
      </c>
      <c r="J257" s="16"/>
      <c r="K257" s="10"/>
      <c r="L257" s="10"/>
      <c r="M257" s="10"/>
      <c r="N257" s="17"/>
      <c r="O257" s="10" t="str">
        <f t="shared" si="129"/>
        <v xml:space="preserve"> </v>
      </c>
      <c r="P257" s="10" t="str">
        <f t="shared" si="118"/>
        <v xml:space="preserve"> </v>
      </c>
      <c r="Q257" s="10" t="str">
        <f t="shared" si="118"/>
        <v xml:space="preserve"> </v>
      </c>
      <c r="R257" s="10" t="str">
        <f t="shared" si="118"/>
        <v xml:space="preserve"> </v>
      </c>
      <c r="S257" s="10" t="str">
        <f t="shared" si="118"/>
        <v xml:space="preserve"> </v>
      </c>
      <c r="T257" s="10">
        <f t="shared" si="118"/>
        <v>57.599999999999994</v>
      </c>
    </row>
    <row r="258" spans="1:20" x14ac:dyDescent="0.35">
      <c r="A258" s="11">
        <v>22</v>
      </c>
      <c r="B258" s="15" t="s">
        <v>88</v>
      </c>
      <c r="C258" s="7" t="s">
        <v>24</v>
      </c>
      <c r="D258" s="7">
        <v>1</v>
      </c>
      <c r="E258" s="7">
        <v>1</v>
      </c>
      <c r="F258" s="13">
        <f t="shared" ref="F258" si="137">ROUND(1.5/0.2+1,0)</f>
        <v>9</v>
      </c>
      <c r="G258" s="10">
        <f t="shared" si="135"/>
        <v>6.3999999999999995</v>
      </c>
      <c r="H258" s="16">
        <f t="shared" si="136"/>
        <v>0.1</v>
      </c>
      <c r="I258" s="14">
        <f t="shared" ref="I258:I259" si="138">6.35-0.05</f>
        <v>6.3</v>
      </c>
      <c r="J258" s="16"/>
      <c r="K258" s="10"/>
      <c r="L258" s="10"/>
      <c r="M258" s="10"/>
      <c r="N258" s="17"/>
      <c r="O258" s="10" t="str">
        <f t="shared" si="129"/>
        <v xml:space="preserve"> </v>
      </c>
      <c r="P258" s="10" t="str">
        <f t="shared" si="118"/>
        <v xml:space="preserve"> </v>
      </c>
      <c r="Q258" s="10" t="str">
        <f t="shared" si="118"/>
        <v xml:space="preserve"> </v>
      </c>
      <c r="R258" s="10" t="str">
        <f t="shared" ref="P258:T289" si="139">IF($C258=R$4,$D258*$E258*$F258*$G258," ")</f>
        <v xml:space="preserve"> </v>
      </c>
      <c r="S258" s="10" t="str">
        <f t="shared" si="139"/>
        <v xml:space="preserve"> </v>
      </c>
      <c r="T258" s="10">
        <f t="shared" si="139"/>
        <v>57.599999999999994</v>
      </c>
    </row>
    <row r="259" spans="1:20" x14ac:dyDescent="0.35">
      <c r="A259" s="11">
        <v>23</v>
      </c>
      <c r="B259" s="15" t="s">
        <v>88</v>
      </c>
      <c r="C259" s="7" t="s">
        <v>24</v>
      </c>
      <c r="D259" s="7">
        <v>1</v>
      </c>
      <c r="E259" s="7">
        <v>1</v>
      </c>
      <c r="F259" s="13">
        <f>ROUND(1/0.2+1,0)</f>
        <v>6</v>
      </c>
      <c r="G259" s="10">
        <f t="shared" si="135"/>
        <v>6.3999999999999995</v>
      </c>
      <c r="H259" s="16">
        <f t="shared" si="136"/>
        <v>0.1</v>
      </c>
      <c r="I259" s="14">
        <f t="shared" si="138"/>
        <v>6.3</v>
      </c>
      <c r="J259" s="16"/>
      <c r="K259" s="10"/>
      <c r="L259" s="10"/>
      <c r="M259" s="10"/>
      <c r="N259" s="17"/>
      <c r="O259" s="10" t="str">
        <f t="shared" si="129"/>
        <v xml:space="preserve"> </v>
      </c>
      <c r="P259" s="10" t="str">
        <f t="shared" si="139"/>
        <v xml:space="preserve"> </v>
      </c>
      <c r="Q259" s="10" t="str">
        <f t="shared" si="139"/>
        <v xml:space="preserve"> </v>
      </c>
      <c r="R259" s="10" t="str">
        <f t="shared" si="139"/>
        <v xml:space="preserve"> </v>
      </c>
      <c r="S259" s="10" t="str">
        <f t="shared" si="139"/>
        <v xml:space="preserve"> </v>
      </c>
      <c r="T259" s="10">
        <f t="shared" si="139"/>
        <v>38.4</v>
      </c>
    </row>
    <row r="260" spans="1:20" x14ac:dyDescent="0.35">
      <c r="A260" s="11">
        <v>24</v>
      </c>
      <c r="B260" s="12" t="s">
        <v>82</v>
      </c>
      <c r="C260" s="7"/>
      <c r="D260" s="7"/>
      <c r="E260" s="7"/>
      <c r="F260" s="13"/>
      <c r="G260" s="10"/>
      <c r="H260" s="16"/>
      <c r="I260" s="14"/>
      <c r="J260" s="16"/>
      <c r="K260" s="10"/>
      <c r="L260" s="10"/>
      <c r="M260" s="10"/>
      <c r="N260" s="17"/>
      <c r="O260" s="10" t="str">
        <f t="shared" si="129"/>
        <v xml:space="preserve"> </v>
      </c>
      <c r="P260" s="10" t="str">
        <f t="shared" si="139"/>
        <v xml:space="preserve"> </v>
      </c>
      <c r="Q260" s="10" t="str">
        <f t="shared" si="139"/>
        <v xml:space="preserve"> </v>
      </c>
      <c r="R260" s="10" t="str">
        <f t="shared" si="139"/>
        <v xml:space="preserve"> </v>
      </c>
      <c r="S260" s="10" t="str">
        <f t="shared" si="139"/>
        <v xml:space="preserve"> </v>
      </c>
      <c r="T260" s="10" t="str">
        <f t="shared" si="139"/>
        <v xml:space="preserve"> </v>
      </c>
    </row>
    <row r="261" spans="1:20" x14ac:dyDescent="0.35">
      <c r="A261" s="11">
        <v>25</v>
      </c>
      <c r="B261" s="15" t="s">
        <v>83</v>
      </c>
      <c r="C261" s="7" t="s">
        <v>24</v>
      </c>
      <c r="D261" s="7">
        <v>1</v>
      </c>
      <c r="E261" s="7">
        <v>2</v>
      </c>
      <c r="F261" s="13">
        <f>ROUND(I262/0.15+1,0)</f>
        <v>15</v>
      </c>
      <c r="G261" s="10">
        <f>SUM(H261:N261)</f>
        <v>6.3749999999999991</v>
      </c>
      <c r="H261" s="16">
        <v>0.1</v>
      </c>
      <c r="I261" s="14">
        <f>6.225-0.05</f>
        <v>6.1749999999999998</v>
      </c>
      <c r="J261" s="16">
        <v>0.1</v>
      </c>
      <c r="K261" s="10"/>
      <c r="L261" s="10"/>
      <c r="M261" s="10"/>
      <c r="N261" s="17"/>
      <c r="O261" s="10" t="str">
        <f t="shared" si="129"/>
        <v xml:space="preserve"> </v>
      </c>
      <c r="P261" s="10" t="str">
        <f t="shared" si="139"/>
        <v xml:space="preserve"> </v>
      </c>
      <c r="Q261" s="10" t="str">
        <f t="shared" si="139"/>
        <v xml:space="preserve"> </v>
      </c>
      <c r="R261" s="10" t="str">
        <f t="shared" si="139"/>
        <v xml:space="preserve"> </v>
      </c>
      <c r="S261" s="10" t="str">
        <f t="shared" si="139"/>
        <v xml:space="preserve"> </v>
      </c>
      <c r="T261" s="10">
        <f t="shared" si="139"/>
        <v>191.24999999999997</v>
      </c>
    </row>
    <row r="262" spans="1:20" x14ac:dyDescent="0.35">
      <c r="A262" s="11">
        <v>26</v>
      </c>
      <c r="B262" s="15" t="s">
        <v>77</v>
      </c>
      <c r="C262" s="7" t="s">
        <v>24</v>
      </c>
      <c r="D262" s="7">
        <v>1</v>
      </c>
      <c r="E262" s="7">
        <v>2</v>
      </c>
      <c r="F262" s="13">
        <f>ROUND(I261/0.15+1,0)</f>
        <v>42</v>
      </c>
      <c r="G262" s="10">
        <f>SUM(H262:N262)</f>
        <v>2.3270000000000004</v>
      </c>
      <c r="H262" s="16">
        <v>0.1</v>
      </c>
      <c r="I262" s="14">
        <f>2.177-0.05</f>
        <v>2.1270000000000002</v>
      </c>
      <c r="J262" s="16">
        <v>0.1</v>
      </c>
      <c r="K262" s="10"/>
      <c r="L262" s="10"/>
      <c r="M262" s="10"/>
      <c r="N262" s="17"/>
      <c r="O262" s="10" t="str">
        <f t="shared" si="129"/>
        <v xml:space="preserve"> </v>
      </c>
      <c r="P262" s="10" t="str">
        <f t="shared" si="139"/>
        <v xml:space="preserve"> </v>
      </c>
      <c r="Q262" s="10" t="str">
        <f t="shared" si="139"/>
        <v xml:space="preserve"> </v>
      </c>
      <c r="R262" s="10" t="str">
        <f t="shared" si="139"/>
        <v xml:space="preserve"> </v>
      </c>
      <c r="S262" s="10" t="str">
        <f t="shared" si="139"/>
        <v xml:space="preserve"> </v>
      </c>
      <c r="T262" s="10">
        <f t="shared" si="139"/>
        <v>195.46800000000005</v>
      </c>
    </row>
    <row r="263" spans="1:20" x14ac:dyDescent="0.35">
      <c r="A263" s="11">
        <v>27</v>
      </c>
      <c r="B263" s="15" t="s">
        <v>89</v>
      </c>
      <c r="C263" s="7" t="s">
        <v>24</v>
      </c>
      <c r="D263" s="7">
        <v>1</v>
      </c>
      <c r="E263" s="7">
        <v>1</v>
      </c>
      <c r="F263" s="13">
        <f>ROUND(1.05/0.2+1,0)</f>
        <v>6</v>
      </c>
      <c r="G263" s="10">
        <f t="shared" ref="G263:G264" si="140">SUM(H263:N263)</f>
        <v>2.2270000000000003</v>
      </c>
      <c r="H263" s="16">
        <v>0.1</v>
      </c>
      <c r="I263" s="14">
        <f t="shared" ref="I263:I264" si="141">2.177-0.05</f>
        <v>2.1270000000000002</v>
      </c>
      <c r="J263" s="16"/>
      <c r="K263" s="10"/>
      <c r="L263" s="10"/>
      <c r="M263" s="10"/>
      <c r="N263" s="17"/>
      <c r="O263" s="10" t="str">
        <f t="shared" si="129"/>
        <v xml:space="preserve"> </v>
      </c>
      <c r="P263" s="10" t="str">
        <f t="shared" si="139"/>
        <v xml:space="preserve"> </v>
      </c>
      <c r="Q263" s="10" t="str">
        <f t="shared" si="139"/>
        <v xml:space="preserve"> </v>
      </c>
      <c r="R263" s="10" t="str">
        <f t="shared" si="139"/>
        <v xml:space="preserve"> </v>
      </c>
      <c r="S263" s="10" t="str">
        <f t="shared" si="139"/>
        <v xml:space="preserve"> </v>
      </c>
      <c r="T263" s="10">
        <f t="shared" si="139"/>
        <v>13.362000000000002</v>
      </c>
    </row>
    <row r="264" spans="1:20" x14ac:dyDescent="0.35">
      <c r="A264" s="11">
        <v>28</v>
      </c>
      <c r="B264" s="15" t="s">
        <v>89</v>
      </c>
      <c r="C264" s="7" t="s">
        <v>24</v>
      </c>
      <c r="D264" s="7">
        <v>1</v>
      </c>
      <c r="E264" s="7">
        <v>1</v>
      </c>
      <c r="F264" s="13">
        <f>ROUND(0.827/0.2+1,0)</f>
        <v>5</v>
      </c>
      <c r="G264" s="10">
        <f t="shared" si="140"/>
        <v>2.2270000000000003</v>
      </c>
      <c r="H264" s="16">
        <v>0.1</v>
      </c>
      <c r="I264" s="14">
        <f t="shared" si="141"/>
        <v>2.1270000000000002</v>
      </c>
      <c r="J264" s="16"/>
      <c r="K264" s="10"/>
      <c r="L264" s="10"/>
      <c r="M264" s="10"/>
      <c r="N264" s="17"/>
      <c r="O264" s="10" t="str">
        <f t="shared" si="129"/>
        <v xml:space="preserve"> </v>
      </c>
      <c r="P264" s="10" t="str">
        <f t="shared" si="139"/>
        <v xml:space="preserve"> </v>
      </c>
      <c r="Q264" s="10" t="str">
        <f t="shared" si="139"/>
        <v xml:space="preserve"> </v>
      </c>
      <c r="R264" s="10" t="str">
        <f t="shared" si="139"/>
        <v xml:space="preserve"> </v>
      </c>
      <c r="S264" s="10" t="str">
        <f t="shared" si="139"/>
        <v xml:space="preserve"> </v>
      </c>
      <c r="T264" s="10">
        <f t="shared" si="139"/>
        <v>11.135000000000002</v>
      </c>
    </row>
    <row r="265" spans="1:20" x14ac:dyDescent="0.35">
      <c r="A265" s="11">
        <v>29</v>
      </c>
      <c r="B265" s="12" t="s">
        <v>82</v>
      </c>
      <c r="C265" s="7"/>
      <c r="D265" s="7"/>
      <c r="E265" s="7"/>
      <c r="F265" s="13"/>
      <c r="G265" s="10"/>
      <c r="H265" s="16"/>
      <c r="I265" s="14"/>
      <c r="J265" s="16"/>
      <c r="K265" s="10"/>
      <c r="L265" s="10"/>
      <c r="M265" s="10"/>
      <c r="N265" s="17"/>
      <c r="O265" s="10" t="str">
        <f t="shared" si="129"/>
        <v xml:space="preserve"> </v>
      </c>
      <c r="P265" s="10" t="str">
        <f t="shared" si="139"/>
        <v xml:space="preserve"> </v>
      </c>
      <c r="Q265" s="10" t="str">
        <f t="shared" si="139"/>
        <v xml:space="preserve"> </v>
      </c>
      <c r="R265" s="10" t="str">
        <f t="shared" si="139"/>
        <v xml:space="preserve"> </v>
      </c>
      <c r="S265" s="10" t="str">
        <f t="shared" si="139"/>
        <v xml:space="preserve"> </v>
      </c>
      <c r="T265" s="10" t="str">
        <f t="shared" si="139"/>
        <v xml:space="preserve"> </v>
      </c>
    </row>
    <row r="266" spans="1:20" x14ac:dyDescent="0.35">
      <c r="A266" s="11">
        <v>30</v>
      </c>
      <c r="B266" s="15" t="s">
        <v>81</v>
      </c>
      <c r="C266" s="7" t="s">
        <v>24</v>
      </c>
      <c r="D266" s="7">
        <v>1</v>
      </c>
      <c r="E266" s="7">
        <v>2</v>
      </c>
      <c r="F266" s="13">
        <f>ROUND(I267/0.15+1,0)</f>
        <v>15</v>
      </c>
      <c r="G266" s="10">
        <f>SUM(H266:N266)</f>
        <v>6.3749999999999991</v>
      </c>
      <c r="H266" s="16">
        <v>0.1</v>
      </c>
      <c r="I266" s="14">
        <f>6.225-0.05</f>
        <v>6.1749999999999998</v>
      </c>
      <c r="J266" s="16">
        <v>0.1</v>
      </c>
      <c r="K266" s="10"/>
      <c r="L266" s="10"/>
      <c r="M266" s="10"/>
      <c r="N266" s="17"/>
      <c r="O266" s="10" t="str">
        <f t="shared" si="129"/>
        <v xml:space="preserve"> </v>
      </c>
      <c r="P266" s="10" t="str">
        <f t="shared" si="139"/>
        <v xml:space="preserve"> </v>
      </c>
      <c r="Q266" s="10" t="str">
        <f t="shared" si="139"/>
        <v xml:space="preserve"> </v>
      </c>
      <c r="R266" s="10" t="str">
        <f t="shared" si="139"/>
        <v xml:space="preserve"> </v>
      </c>
      <c r="S266" s="10" t="str">
        <f t="shared" si="139"/>
        <v xml:space="preserve"> </v>
      </c>
      <c r="T266" s="10">
        <f t="shared" si="139"/>
        <v>191.24999999999997</v>
      </c>
    </row>
    <row r="267" spans="1:20" x14ac:dyDescent="0.35">
      <c r="A267" s="11">
        <v>31</v>
      </c>
      <c r="B267" s="15" t="s">
        <v>77</v>
      </c>
      <c r="C267" s="7" t="s">
        <v>24</v>
      </c>
      <c r="D267" s="7">
        <v>1</v>
      </c>
      <c r="E267" s="7">
        <v>2</v>
      </c>
      <c r="F267" s="13">
        <f>ROUND(I266/0.15+1,0)</f>
        <v>42</v>
      </c>
      <c r="G267" s="10">
        <f>SUM(H267:N267)</f>
        <v>2.3160000000000003</v>
      </c>
      <c r="H267" s="16">
        <v>0.1</v>
      </c>
      <c r="I267" s="16">
        <f>2.166-0.05</f>
        <v>2.1160000000000001</v>
      </c>
      <c r="J267" s="16">
        <v>0.1</v>
      </c>
      <c r="K267" s="18"/>
      <c r="L267" s="18"/>
      <c r="M267" s="18"/>
      <c r="N267" s="17"/>
      <c r="O267" s="10" t="str">
        <f t="shared" si="129"/>
        <v xml:space="preserve"> </v>
      </c>
      <c r="P267" s="10" t="str">
        <f t="shared" si="139"/>
        <v xml:space="preserve"> </v>
      </c>
      <c r="Q267" s="10" t="str">
        <f t="shared" si="139"/>
        <v xml:space="preserve"> </v>
      </c>
      <c r="R267" s="10" t="str">
        <f t="shared" si="139"/>
        <v xml:space="preserve"> </v>
      </c>
      <c r="S267" s="10" t="str">
        <f t="shared" si="139"/>
        <v xml:space="preserve"> </v>
      </c>
      <c r="T267" s="10">
        <f t="shared" si="139"/>
        <v>194.54400000000001</v>
      </c>
    </row>
    <row r="268" spans="1:20" x14ac:dyDescent="0.35">
      <c r="A268" s="11">
        <v>32</v>
      </c>
      <c r="B268" s="15" t="s">
        <v>89</v>
      </c>
      <c r="C268" s="7" t="s">
        <v>24</v>
      </c>
      <c r="D268" s="7">
        <v>1</v>
      </c>
      <c r="E268" s="7">
        <v>1</v>
      </c>
      <c r="F268" s="13">
        <f>ROUND(1.05/0.2+1,0)</f>
        <v>6</v>
      </c>
      <c r="G268" s="10">
        <f t="shared" ref="G268:G269" si="142">SUM(H268:N268)</f>
        <v>2.2160000000000002</v>
      </c>
      <c r="H268" s="16">
        <v>0.1</v>
      </c>
      <c r="I268" s="16">
        <f>2.166-0.05</f>
        <v>2.1160000000000001</v>
      </c>
      <c r="J268" s="16"/>
      <c r="K268" s="10"/>
      <c r="L268" s="10"/>
      <c r="M268" s="10"/>
      <c r="N268" s="17"/>
      <c r="O268" s="10" t="str">
        <f t="shared" si="129"/>
        <v xml:space="preserve"> </v>
      </c>
      <c r="P268" s="10" t="str">
        <f t="shared" si="139"/>
        <v xml:space="preserve"> </v>
      </c>
      <c r="Q268" s="10" t="str">
        <f t="shared" si="139"/>
        <v xml:space="preserve"> </v>
      </c>
      <c r="R268" s="10" t="str">
        <f t="shared" si="139"/>
        <v xml:space="preserve"> </v>
      </c>
      <c r="S268" s="10" t="str">
        <f t="shared" si="139"/>
        <v xml:space="preserve"> </v>
      </c>
      <c r="T268" s="10">
        <f t="shared" si="139"/>
        <v>13.296000000000001</v>
      </c>
    </row>
    <row r="269" spans="1:20" x14ac:dyDescent="0.35">
      <c r="A269" s="11">
        <v>33</v>
      </c>
      <c r="B269" s="15" t="s">
        <v>89</v>
      </c>
      <c r="C269" s="7" t="s">
        <v>24</v>
      </c>
      <c r="D269" s="7">
        <v>1</v>
      </c>
      <c r="E269" s="7">
        <v>1</v>
      </c>
      <c r="F269" s="13">
        <f>ROUND(0.827/0.2+1,0)</f>
        <v>5</v>
      </c>
      <c r="G269" s="10">
        <f t="shared" si="142"/>
        <v>2.2160000000000002</v>
      </c>
      <c r="H269" s="16">
        <v>0.1</v>
      </c>
      <c r="I269" s="16">
        <f>2.166-0.05</f>
        <v>2.1160000000000001</v>
      </c>
      <c r="J269" s="16"/>
      <c r="K269" s="10"/>
      <c r="L269" s="10"/>
      <c r="M269" s="10"/>
      <c r="N269" s="17"/>
      <c r="O269" s="10" t="str">
        <f t="shared" si="129"/>
        <v xml:space="preserve"> </v>
      </c>
      <c r="P269" s="10" t="str">
        <f t="shared" si="139"/>
        <v xml:space="preserve"> </v>
      </c>
      <c r="Q269" s="10" t="str">
        <f t="shared" si="139"/>
        <v xml:space="preserve"> </v>
      </c>
      <c r="R269" s="10" t="str">
        <f t="shared" si="139"/>
        <v xml:space="preserve"> </v>
      </c>
      <c r="S269" s="10" t="str">
        <f t="shared" si="139"/>
        <v xml:space="preserve"> </v>
      </c>
      <c r="T269" s="10">
        <f t="shared" si="139"/>
        <v>11.080000000000002</v>
      </c>
    </row>
    <row r="270" spans="1:20" x14ac:dyDescent="0.35">
      <c r="A270" s="11">
        <v>34</v>
      </c>
      <c r="B270" s="12" t="s">
        <v>80</v>
      </c>
      <c r="C270" s="7"/>
      <c r="D270" s="7"/>
      <c r="E270" s="7"/>
      <c r="F270" s="13"/>
      <c r="G270" s="10"/>
      <c r="H270" s="16"/>
      <c r="I270" s="16"/>
      <c r="J270" s="16"/>
      <c r="L270" s="18"/>
      <c r="M270" s="18"/>
      <c r="N270" s="17"/>
      <c r="O270" s="10" t="str">
        <f t="shared" si="129"/>
        <v xml:space="preserve"> </v>
      </c>
      <c r="P270" s="10" t="str">
        <f t="shared" si="139"/>
        <v xml:space="preserve"> </v>
      </c>
      <c r="Q270" s="10" t="str">
        <f t="shared" si="139"/>
        <v xml:space="preserve"> </v>
      </c>
      <c r="R270" s="10" t="str">
        <f t="shared" si="139"/>
        <v xml:space="preserve"> </v>
      </c>
      <c r="S270" s="10" t="str">
        <f t="shared" si="139"/>
        <v xml:space="preserve"> </v>
      </c>
      <c r="T270" s="10" t="str">
        <f t="shared" si="139"/>
        <v xml:space="preserve"> </v>
      </c>
    </row>
    <row r="271" spans="1:20" x14ac:dyDescent="0.35">
      <c r="A271" s="11">
        <v>35</v>
      </c>
      <c r="B271" s="15" t="s">
        <v>79</v>
      </c>
      <c r="C271" s="7" t="s">
        <v>23</v>
      </c>
      <c r="D271" s="7">
        <v>1</v>
      </c>
      <c r="E271" s="7">
        <v>1</v>
      </c>
      <c r="F271" s="13">
        <f>ROUND(I272/0.15+1,0)</f>
        <v>29</v>
      </c>
      <c r="G271" s="10">
        <f>SUM(H271:N271)</f>
        <v>5.484</v>
      </c>
      <c r="H271" s="16">
        <f>0.1*2</f>
        <v>0.2</v>
      </c>
      <c r="I271" s="14">
        <f>(3+0.121+0.121)-0.05</f>
        <v>3.1920000000000002</v>
      </c>
      <c r="J271" s="16">
        <v>0.75</v>
      </c>
      <c r="K271" s="10">
        <v>0.55000000000000004</v>
      </c>
      <c r="L271" s="10">
        <f>((0.3+0.121)-0.025)*2</f>
        <v>0.79199999999999993</v>
      </c>
      <c r="M271" s="10"/>
      <c r="N271" s="17"/>
      <c r="O271" s="10" t="str">
        <f t="shared" si="129"/>
        <v xml:space="preserve"> </v>
      </c>
      <c r="P271" s="10" t="str">
        <f t="shared" si="139"/>
        <v xml:space="preserve"> </v>
      </c>
      <c r="Q271" s="10" t="str">
        <f t="shared" si="139"/>
        <v xml:space="preserve"> </v>
      </c>
      <c r="R271" s="10" t="str">
        <f t="shared" si="139"/>
        <v xml:space="preserve"> </v>
      </c>
      <c r="S271" s="10">
        <f t="shared" si="139"/>
        <v>159.036</v>
      </c>
      <c r="T271" s="10" t="str">
        <f t="shared" si="139"/>
        <v xml:space="preserve"> </v>
      </c>
    </row>
    <row r="272" spans="1:20" x14ac:dyDescent="0.35">
      <c r="A272" s="11">
        <v>36</v>
      </c>
      <c r="B272" s="15" t="s">
        <v>77</v>
      </c>
      <c r="C272" s="7" t="s">
        <v>24</v>
      </c>
      <c r="D272" s="7">
        <v>1</v>
      </c>
      <c r="E272" s="7">
        <v>1</v>
      </c>
      <c r="F272" s="13">
        <f>ROUND(I271/0.15+1,0)</f>
        <v>22</v>
      </c>
      <c r="G272" s="10">
        <f>SUM(H272:N272)</f>
        <v>7.2780000000000005</v>
      </c>
      <c r="H272" s="16">
        <f>0.1*2</f>
        <v>0.2</v>
      </c>
      <c r="I272" s="14">
        <f>4.2-0.05</f>
        <v>4.1500000000000004</v>
      </c>
      <c r="J272" s="16">
        <f>0.85*2</f>
        <v>1.7</v>
      </c>
      <c r="K272" s="10">
        <f>0.45-0.025</f>
        <v>0.42499999999999999</v>
      </c>
      <c r="L272" s="10">
        <f>0.828-0.025</f>
        <v>0.80299999999999994</v>
      </c>
      <c r="M272" s="10"/>
      <c r="N272" s="17"/>
      <c r="O272" s="10" t="str">
        <f t="shared" si="129"/>
        <v xml:space="preserve"> </v>
      </c>
      <c r="P272" s="10" t="str">
        <f t="shared" si="139"/>
        <v xml:space="preserve"> </v>
      </c>
      <c r="Q272" s="10" t="str">
        <f t="shared" si="139"/>
        <v xml:space="preserve"> </v>
      </c>
      <c r="R272" s="10" t="str">
        <f t="shared" si="139"/>
        <v xml:space="preserve"> </v>
      </c>
      <c r="S272" s="10" t="str">
        <f t="shared" si="139"/>
        <v xml:space="preserve"> </v>
      </c>
      <c r="T272" s="10">
        <f t="shared" si="139"/>
        <v>160.11600000000001</v>
      </c>
    </row>
    <row r="273" spans="1:20" x14ac:dyDescent="0.35">
      <c r="A273" s="11">
        <v>37</v>
      </c>
      <c r="B273" s="15" t="s">
        <v>88</v>
      </c>
      <c r="C273" s="7" t="s">
        <v>24</v>
      </c>
      <c r="D273" s="7">
        <v>1</v>
      </c>
      <c r="E273" s="7">
        <v>1</v>
      </c>
      <c r="F273" s="13">
        <f>ROUND(0.75/0.2+1,0)</f>
        <v>5</v>
      </c>
      <c r="G273" s="10">
        <f t="shared" ref="G273:G277" si="143">SUM(H273:N273)</f>
        <v>3.2920000000000003</v>
      </c>
      <c r="H273" s="16">
        <f t="shared" ref="H273:J280" si="144">0.1</f>
        <v>0.1</v>
      </c>
      <c r="I273" s="14">
        <f>(3+0.121+0.121)-0.05</f>
        <v>3.1920000000000002</v>
      </c>
      <c r="J273" s="16"/>
      <c r="K273" s="10"/>
      <c r="L273" s="10"/>
      <c r="M273" s="10"/>
      <c r="N273" s="17"/>
      <c r="O273" s="10" t="str">
        <f t="shared" si="129"/>
        <v xml:space="preserve"> </v>
      </c>
      <c r="P273" s="10" t="str">
        <f t="shared" si="139"/>
        <v xml:space="preserve"> </v>
      </c>
      <c r="Q273" s="10" t="str">
        <f t="shared" si="139"/>
        <v xml:space="preserve"> </v>
      </c>
      <c r="R273" s="10" t="str">
        <f t="shared" si="139"/>
        <v xml:space="preserve"> </v>
      </c>
      <c r="S273" s="10" t="str">
        <f t="shared" si="139"/>
        <v xml:space="preserve"> </v>
      </c>
      <c r="T273" s="10">
        <f t="shared" si="139"/>
        <v>16.46</v>
      </c>
    </row>
    <row r="274" spans="1:20" x14ac:dyDescent="0.35">
      <c r="A274" s="11">
        <v>38</v>
      </c>
      <c r="B274" s="15" t="s">
        <v>88</v>
      </c>
      <c r="C274" s="7" t="s">
        <v>24</v>
      </c>
      <c r="D274" s="7">
        <v>1</v>
      </c>
      <c r="E274" s="7">
        <v>1</v>
      </c>
      <c r="F274" s="13">
        <f>ROUND(0.55/0.2+1,0)</f>
        <v>4</v>
      </c>
      <c r="G274" s="10">
        <f t="shared" si="143"/>
        <v>3.2920000000000003</v>
      </c>
      <c r="H274" s="16">
        <f t="shared" si="144"/>
        <v>0.1</v>
      </c>
      <c r="I274" s="14">
        <f>(3+0.121+0.121)-0.05</f>
        <v>3.1920000000000002</v>
      </c>
      <c r="J274" s="16"/>
      <c r="K274" s="10"/>
      <c r="L274" s="10"/>
      <c r="M274" s="10"/>
      <c r="N274" s="17"/>
      <c r="O274" s="10" t="str">
        <f t="shared" si="129"/>
        <v xml:space="preserve"> </v>
      </c>
      <c r="P274" s="10" t="str">
        <f t="shared" si="139"/>
        <v xml:space="preserve"> </v>
      </c>
      <c r="Q274" s="10" t="str">
        <f t="shared" si="139"/>
        <v xml:space="preserve"> </v>
      </c>
      <c r="R274" s="10" t="str">
        <f t="shared" si="139"/>
        <v xml:space="preserve"> </v>
      </c>
      <c r="S274" s="10" t="str">
        <f t="shared" si="139"/>
        <v xml:space="preserve"> </v>
      </c>
      <c r="T274" s="10">
        <f t="shared" si="139"/>
        <v>13.168000000000001</v>
      </c>
    </row>
    <row r="275" spans="1:20" x14ac:dyDescent="0.35">
      <c r="A275" s="11">
        <v>39</v>
      </c>
      <c r="B275" s="15" t="s">
        <v>88</v>
      </c>
      <c r="C275" s="7" t="s">
        <v>24</v>
      </c>
      <c r="D275" s="7">
        <v>1</v>
      </c>
      <c r="E275" s="7">
        <v>1</v>
      </c>
      <c r="F275" s="13">
        <f>ROUND(0.85/0.2+1,0)</f>
        <v>5</v>
      </c>
      <c r="G275" s="10">
        <f t="shared" si="143"/>
        <v>4.25</v>
      </c>
      <c r="H275" s="16">
        <f t="shared" si="144"/>
        <v>0.1</v>
      </c>
      <c r="I275" s="14">
        <f t="shared" ref="I275:I277" si="145">4.2-0.05</f>
        <v>4.1500000000000004</v>
      </c>
      <c r="J275" s="16"/>
      <c r="K275" s="10"/>
      <c r="L275" s="10"/>
      <c r="M275" s="10"/>
      <c r="N275" s="17"/>
      <c r="O275" s="10" t="str">
        <f t="shared" si="129"/>
        <v xml:space="preserve"> </v>
      </c>
      <c r="P275" s="10" t="str">
        <f t="shared" si="139"/>
        <v xml:space="preserve"> </v>
      </c>
      <c r="Q275" s="10" t="str">
        <f t="shared" si="139"/>
        <v xml:space="preserve"> </v>
      </c>
      <c r="R275" s="10" t="str">
        <f t="shared" si="139"/>
        <v xml:space="preserve"> </v>
      </c>
      <c r="S275" s="10" t="str">
        <f t="shared" si="139"/>
        <v xml:space="preserve"> </v>
      </c>
      <c r="T275" s="10">
        <f t="shared" si="139"/>
        <v>21.25</v>
      </c>
    </row>
    <row r="276" spans="1:20" x14ac:dyDescent="0.35">
      <c r="A276" s="11">
        <v>40</v>
      </c>
      <c r="B276" s="15" t="s">
        <v>88</v>
      </c>
      <c r="C276" s="7" t="s">
        <v>24</v>
      </c>
      <c r="D276" s="7">
        <v>1</v>
      </c>
      <c r="E276" s="7">
        <v>1</v>
      </c>
      <c r="F276" s="13">
        <f>ROUND(0.85/0.2+1,0)</f>
        <v>5</v>
      </c>
      <c r="G276" s="10">
        <f t="shared" si="143"/>
        <v>4.25</v>
      </c>
      <c r="H276" s="16">
        <f t="shared" si="144"/>
        <v>0.1</v>
      </c>
      <c r="I276" s="14">
        <f t="shared" si="145"/>
        <v>4.1500000000000004</v>
      </c>
      <c r="J276" s="16"/>
      <c r="K276" s="10"/>
      <c r="L276" s="10"/>
      <c r="M276" s="10"/>
      <c r="N276" s="17"/>
      <c r="O276" s="10" t="str">
        <f t="shared" si="129"/>
        <v xml:space="preserve"> </v>
      </c>
      <c r="P276" s="10" t="str">
        <f t="shared" si="139"/>
        <v xml:space="preserve"> </v>
      </c>
      <c r="Q276" s="10" t="str">
        <f t="shared" si="139"/>
        <v xml:space="preserve"> </v>
      </c>
      <c r="R276" s="10" t="str">
        <f t="shared" si="139"/>
        <v xml:space="preserve"> </v>
      </c>
      <c r="S276" s="10" t="str">
        <f t="shared" si="139"/>
        <v xml:space="preserve"> </v>
      </c>
      <c r="T276" s="10">
        <f t="shared" si="139"/>
        <v>21.25</v>
      </c>
    </row>
    <row r="277" spans="1:20" x14ac:dyDescent="0.35">
      <c r="A277" s="11">
        <v>41</v>
      </c>
      <c r="B277" s="15" t="s">
        <v>88</v>
      </c>
      <c r="C277" s="7" t="s">
        <v>24</v>
      </c>
      <c r="D277" s="7">
        <v>1</v>
      </c>
      <c r="E277" s="7">
        <v>1</v>
      </c>
      <c r="F277" s="13">
        <f>ROUND(0.828/0.2+1,0)</f>
        <v>5</v>
      </c>
      <c r="G277" s="10">
        <f t="shared" si="143"/>
        <v>4.25</v>
      </c>
      <c r="H277" s="16">
        <f t="shared" si="144"/>
        <v>0.1</v>
      </c>
      <c r="I277" s="14">
        <f t="shared" si="145"/>
        <v>4.1500000000000004</v>
      </c>
      <c r="J277" s="16"/>
      <c r="K277" s="10"/>
      <c r="L277" s="10"/>
      <c r="M277" s="10"/>
      <c r="N277" s="17"/>
      <c r="O277" s="10" t="str">
        <f t="shared" si="129"/>
        <v xml:space="preserve"> </v>
      </c>
      <c r="P277" s="10" t="str">
        <f t="shared" si="139"/>
        <v xml:space="preserve"> </v>
      </c>
      <c r="Q277" s="10" t="str">
        <f t="shared" si="139"/>
        <v xml:space="preserve"> </v>
      </c>
      <c r="R277" s="10" t="str">
        <f t="shared" si="139"/>
        <v xml:space="preserve"> </v>
      </c>
      <c r="S277" s="10" t="str">
        <f t="shared" si="139"/>
        <v xml:space="preserve"> </v>
      </c>
      <c r="T277" s="10">
        <f t="shared" si="139"/>
        <v>21.25</v>
      </c>
    </row>
    <row r="278" spans="1:20" x14ac:dyDescent="0.35">
      <c r="A278" s="11">
        <v>42</v>
      </c>
      <c r="B278" s="12" t="s">
        <v>78</v>
      </c>
      <c r="C278" s="7"/>
      <c r="D278" s="7"/>
      <c r="E278" s="7"/>
      <c r="F278" s="13"/>
      <c r="G278" s="10"/>
      <c r="H278" s="16"/>
      <c r="I278" s="14"/>
      <c r="J278" s="16"/>
      <c r="K278" s="10"/>
      <c r="L278" s="10"/>
      <c r="M278" s="10"/>
      <c r="N278" s="17"/>
      <c r="O278" s="10" t="str">
        <f t="shared" si="129"/>
        <v xml:space="preserve"> </v>
      </c>
      <c r="P278" s="10" t="str">
        <f t="shared" si="139"/>
        <v xml:space="preserve"> </v>
      </c>
      <c r="Q278" s="10" t="str">
        <f t="shared" si="139"/>
        <v xml:space="preserve"> </v>
      </c>
      <c r="R278" s="10" t="str">
        <f t="shared" si="139"/>
        <v xml:space="preserve"> </v>
      </c>
      <c r="S278" s="10" t="str">
        <f t="shared" si="139"/>
        <v xml:space="preserve"> </v>
      </c>
      <c r="T278" s="10" t="str">
        <f t="shared" si="139"/>
        <v xml:space="preserve"> </v>
      </c>
    </row>
    <row r="279" spans="1:20" x14ac:dyDescent="0.35">
      <c r="A279" s="11">
        <v>43</v>
      </c>
      <c r="B279" s="15" t="s">
        <v>79</v>
      </c>
      <c r="C279" s="7" t="s">
        <v>23</v>
      </c>
      <c r="D279" s="7">
        <v>1</v>
      </c>
      <c r="E279" s="7">
        <v>1</v>
      </c>
      <c r="F279" s="13">
        <f>ROUND(I280/0.2+1,0)</f>
        <v>16</v>
      </c>
      <c r="G279" s="10">
        <f t="shared" ref="G279:G280" si="146">SUM(H279:N279)</f>
        <v>1.2000000000000002</v>
      </c>
      <c r="H279" s="16">
        <f t="shared" si="144"/>
        <v>0.1</v>
      </c>
      <c r="I279" s="14">
        <f>1</f>
        <v>1</v>
      </c>
      <c r="J279" s="16">
        <f t="shared" si="144"/>
        <v>0.1</v>
      </c>
      <c r="K279" s="10"/>
      <c r="L279" s="10"/>
      <c r="M279" s="10"/>
      <c r="N279" s="17"/>
      <c r="O279" s="10" t="str">
        <f t="shared" si="129"/>
        <v xml:space="preserve"> </v>
      </c>
      <c r="P279" s="10" t="str">
        <f t="shared" si="139"/>
        <v xml:space="preserve"> </v>
      </c>
      <c r="Q279" s="10" t="str">
        <f t="shared" si="139"/>
        <v xml:space="preserve"> </v>
      </c>
      <c r="R279" s="10" t="str">
        <f t="shared" si="139"/>
        <v xml:space="preserve"> </v>
      </c>
      <c r="S279" s="10">
        <f t="shared" si="139"/>
        <v>19.200000000000003</v>
      </c>
      <c r="T279" s="10" t="str">
        <f t="shared" si="139"/>
        <v xml:space="preserve"> </v>
      </c>
    </row>
    <row r="280" spans="1:20" x14ac:dyDescent="0.35">
      <c r="A280" s="11">
        <v>44</v>
      </c>
      <c r="B280" s="15" t="s">
        <v>77</v>
      </c>
      <c r="C280" s="7" t="s">
        <v>23</v>
      </c>
      <c r="D280" s="7">
        <v>1</v>
      </c>
      <c r="E280" s="7">
        <v>1</v>
      </c>
      <c r="F280" s="13">
        <f>ROUND(I279/0.2+1,0)</f>
        <v>6</v>
      </c>
      <c r="G280" s="10">
        <f t="shared" si="146"/>
        <v>3.2750000000000004</v>
      </c>
      <c r="H280" s="16">
        <f t="shared" si="144"/>
        <v>0.1</v>
      </c>
      <c r="I280" s="14">
        <f>3.075</f>
        <v>3.0750000000000002</v>
      </c>
      <c r="J280" s="16">
        <f t="shared" si="144"/>
        <v>0.1</v>
      </c>
      <c r="K280" s="10"/>
      <c r="L280" s="10"/>
      <c r="M280" s="10"/>
      <c r="N280" s="17"/>
      <c r="O280" s="10" t="str">
        <f t="shared" si="129"/>
        <v xml:space="preserve"> </v>
      </c>
      <c r="P280" s="10" t="str">
        <f t="shared" si="139"/>
        <v xml:space="preserve"> </v>
      </c>
      <c r="Q280" s="10" t="str">
        <f t="shared" si="139"/>
        <v xml:space="preserve"> </v>
      </c>
      <c r="R280" s="10" t="str">
        <f t="shared" si="139"/>
        <v xml:space="preserve"> </v>
      </c>
      <c r="S280" s="10">
        <f t="shared" si="139"/>
        <v>19.650000000000002</v>
      </c>
      <c r="T280" s="10" t="str">
        <f t="shared" si="139"/>
        <v xml:space="preserve"> </v>
      </c>
    </row>
    <row r="281" spans="1:20" x14ac:dyDescent="0.35">
      <c r="A281" s="11">
        <v>45</v>
      </c>
      <c r="B281" s="12" t="s">
        <v>90</v>
      </c>
      <c r="C281" s="7"/>
      <c r="D281" s="7"/>
      <c r="E281" s="7"/>
      <c r="F281" s="13"/>
      <c r="G281" s="10"/>
      <c r="H281" s="16"/>
      <c r="I281" s="14"/>
      <c r="J281" s="16"/>
      <c r="K281" s="10"/>
      <c r="L281" s="10"/>
      <c r="M281" s="10"/>
      <c r="N281" s="17"/>
      <c r="O281" s="10" t="str">
        <f t="shared" si="129"/>
        <v xml:space="preserve"> </v>
      </c>
      <c r="P281" s="10" t="str">
        <f t="shared" si="139"/>
        <v xml:space="preserve"> </v>
      </c>
      <c r="Q281" s="10" t="str">
        <f t="shared" si="139"/>
        <v xml:space="preserve"> </v>
      </c>
      <c r="R281" s="10" t="str">
        <f t="shared" si="139"/>
        <v xml:space="preserve"> </v>
      </c>
      <c r="S281" s="10" t="str">
        <f t="shared" si="139"/>
        <v xml:space="preserve"> </v>
      </c>
      <c r="T281" s="10" t="str">
        <f t="shared" si="139"/>
        <v xml:space="preserve"> </v>
      </c>
    </row>
    <row r="282" spans="1:20" x14ac:dyDescent="0.35">
      <c r="A282" s="11">
        <v>46</v>
      </c>
      <c r="B282" s="15" t="s">
        <v>79</v>
      </c>
      <c r="C282" s="7" t="s">
        <v>23</v>
      </c>
      <c r="D282" s="7">
        <v>1</v>
      </c>
      <c r="E282" s="7">
        <v>1</v>
      </c>
      <c r="F282" s="13">
        <f>ROUND(I283/0.2+1,0)</f>
        <v>29</v>
      </c>
      <c r="G282" s="10">
        <f t="shared" ref="G282:G287" si="147">SUM(H282:N282)</f>
        <v>6.875</v>
      </c>
      <c r="H282" s="16">
        <f t="shared" ref="H282:H287" si="148">0.1</f>
        <v>0.1</v>
      </c>
      <c r="I282" s="14">
        <f>4.575-0.05</f>
        <v>4.5250000000000004</v>
      </c>
      <c r="J282" s="16">
        <f>(0.3-0.025)*2</f>
        <v>0.54999999999999993</v>
      </c>
      <c r="K282" s="10">
        <f>0.85*2</f>
        <v>1.7</v>
      </c>
      <c r="L282" s="10"/>
      <c r="M282" s="10"/>
      <c r="N282" s="17"/>
      <c r="O282" s="10" t="str">
        <f t="shared" si="129"/>
        <v xml:space="preserve"> </v>
      </c>
      <c r="P282" s="10" t="str">
        <f t="shared" si="139"/>
        <v xml:space="preserve"> </v>
      </c>
      <c r="Q282" s="10" t="str">
        <f t="shared" si="139"/>
        <v xml:space="preserve"> </v>
      </c>
      <c r="R282" s="10" t="str">
        <f t="shared" si="139"/>
        <v xml:space="preserve"> </v>
      </c>
      <c r="S282" s="10">
        <f t="shared" si="139"/>
        <v>199.375</v>
      </c>
      <c r="T282" s="10" t="str">
        <f t="shared" si="139"/>
        <v xml:space="preserve"> </v>
      </c>
    </row>
    <row r="283" spans="1:20" x14ac:dyDescent="0.35">
      <c r="A283" s="11">
        <v>47</v>
      </c>
      <c r="B283" s="15" t="s">
        <v>77</v>
      </c>
      <c r="C283" s="7" t="s">
        <v>23</v>
      </c>
      <c r="D283" s="7">
        <v>1</v>
      </c>
      <c r="E283" s="7">
        <v>1</v>
      </c>
      <c r="F283" s="13">
        <f>ROUND(I282/0.2+1,0)</f>
        <v>24</v>
      </c>
      <c r="G283" s="10">
        <f t="shared" si="147"/>
        <v>8.2999999999999989</v>
      </c>
      <c r="H283" s="16">
        <f t="shared" si="148"/>
        <v>0.1</v>
      </c>
      <c r="I283" s="14">
        <f>5.6-0.05</f>
        <v>5.55</v>
      </c>
      <c r="J283" s="16">
        <f>(0.3-0.025)*2</f>
        <v>0.54999999999999993</v>
      </c>
      <c r="K283" s="10">
        <f>1.05*2</f>
        <v>2.1</v>
      </c>
      <c r="L283" s="10"/>
      <c r="M283" s="10"/>
      <c r="N283" s="17"/>
      <c r="O283" s="10" t="str">
        <f t="shared" si="129"/>
        <v xml:space="preserve"> </v>
      </c>
      <c r="P283" s="10" t="str">
        <f t="shared" si="139"/>
        <v xml:space="preserve"> </v>
      </c>
      <c r="Q283" s="10" t="str">
        <f t="shared" si="139"/>
        <v xml:space="preserve"> </v>
      </c>
      <c r="R283" s="10" t="str">
        <f t="shared" si="139"/>
        <v xml:space="preserve"> </v>
      </c>
      <c r="S283" s="10">
        <f t="shared" si="139"/>
        <v>199.2</v>
      </c>
      <c r="T283" s="10" t="str">
        <f t="shared" si="139"/>
        <v xml:space="preserve"> </v>
      </c>
    </row>
    <row r="284" spans="1:20" x14ac:dyDescent="0.35">
      <c r="A284" s="11">
        <v>48</v>
      </c>
      <c r="B284" s="15" t="s">
        <v>88</v>
      </c>
      <c r="C284" s="7" t="s">
        <v>24</v>
      </c>
      <c r="D284" s="7">
        <v>1</v>
      </c>
      <c r="E284" s="7">
        <v>1</v>
      </c>
      <c r="F284" s="13">
        <f>ROUND(1.05/0.2+1,0)</f>
        <v>6</v>
      </c>
      <c r="G284" s="10">
        <f t="shared" si="147"/>
        <v>4.625</v>
      </c>
      <c r="H284" s="16">
        <f t="shared" si="148"/>
        <v>0.1</v>
      </c>
      <c r="I284" s="14">
        <f>4.575-0.05</f>
        <v>4.5250000000000004</v>
      </c>
      <c r="J284" s="16"/>
      <c r="K284" s="10"/>
      <c r="L284" s="10"/>
      <c r="M284" s="10"/>
      <c r="N284" s="17"/>
      <c r="O284" s="10" t="str">
        <f t="shared" si="129"/>
        <v xml:space="preserve"> </v>
      </c>
      <c r="P284" s="10" t="str">
        <f t="shared" si="139"/>
        <v xml:space="preserve"> </v>
      </c>
      <c r="Q284" s="10" t="str">
        <f t="shared" si="139"/>
        <v xml:space="preserve"> </v>
      </c>
      <c r="R284" s="10" t="str">
        <f t="shared" si="139"/>
        <v xml:space="preserve"> </v>
      </c>
      <c r="S284" s="10" t="str">
        <f t="shared" si="139"/>
        <v xml:space="preserve"> </v>
      </c>
      <c r="T284" s="10">
        <f t="shared" si="139"/>
        <v>27.75</v>
      </c>
    </row>
    <row r="285" spans="1:20" x14ac:dyDescent="0.35">
      <c r="A285" s="11">
        <v>49</v>
      </c>
      <c r="B285" s="15" t="s">
        <v>88</v>
      </c>
      <c r="C285" s="7" t="s">
        <v>24</v>
      </c>
      <c r="D285" s="7">
        <v>1</v>
      </c>
      <c r="E285" s="7">
        <v>1</v>
      </c>
      <c r="F285" s="13">
        <f>ROUND(1.05/0.2+1,0)</f>
        <v>6</v>
      </c>
      <c r="G285" s="10">
        <f t="shared" si="147"/>
        <v>4.625</v>
      </c>
      <c r="H285" s="16">
        <f t="shared" si="148"/>
        <v>0.1</v>
      </c>
      <c r="I285" s="14">
        <f>4.575-0.05</f>
        <v>4.5250000000000004</v>
      </c>
      <c r="J285" s="16"/>
      <c r="K285" s="10"/>
      <c r="L285" s="10"/>
      <c r="M285" s="10"/>
      <c r="N285" s="17"/>
      <c r="O285" s="10" t="str">
        <f t="shared" si="129"/>
        <v xml:space="preserve"> </v>
      </c>
      <c r="P285" s="10" t="str">
        <f t="shared" si="139"/>
        <v xml:space="preserve"> </v>
      </c>
      <c r="Q285" s="10" t="str">
        <f t="shared" si="139"/>
        <v xml:space="preserve"> </v>
      </c>
      <c r="R285" s="10" t="str">
        <f t="shared" si="139"/>
        <v xml:space="preserve"> </v>
      </c>
      <c r="S285" s="10" t="str">
        <f t="shared" si="139"/>
        <v xml:space="preserve"> </v>
      </c>
      <c r="T285" s="10">
        <f t="shared" si="139"/>
        <v>27.75</v>
      </c>
    </row>
    <row r="286" spans="1:20" x14ac:dyDescent="0.35">
      <c r="A286" s="11">
        <v>50</v>
      </c>
      <c r="B286" s="15" t="s">
        <v>88</v>
      </c>
      <c r="C286" s="7" t="s">
        <v>24</v>
      </c>
      <c r="D286" s="7">
        <v>1</v>
      </c>
      <c r="E286" s="7">
        <v>1</v>
      </c>
      <c r="F286" s="13">
        <f>ROUND(0.85/0.2+1,0)</f>
        <v>5</v>
      </c>
      <c r="G286" s="10">
        <f t="shared" si="147"/>
        <v>5.6499999999999995</v>
      </c>
      <c r="H286" s="16">
        <f t="shared" si="148"/>
        <v>0.1</v>
      </c>
      <c r="I286" s="14">
        <f>5.6-0.05</f>
        <v>5.55</v>
      </c>
      <c r="J286" s="16"/>
      <c r="K286" s="10"/>
      <c r="L286" s="10"/>
      <c r="M286" s="10"/>
      <c r="N286" s="17"/>
      <c r="O286" s="10" t="str">
        <f t="shared" si="129"/>
        <v xml:space="preserve"> </v>
      </c>
      <c r="P286" s="10" t="str">
        <f t="shared" si="139"/>
        <v xml:space="preserve"> </v>
      </c>
      <c r="Q286" s="10" t="str">
        <f t="shared" si="139"/>
        <v xml:space="preserve"> </v>
      </c>
      <c r="R286" s="10" t="str">
        <f t="shared" si="139"/>
        <v xml:space="preserve"> </v>
      </c>
      <c r="S286" s="10" t="str">
        <f t="shared" si="139"/>
        <v xml:space="preserve"> </v>
      </c>
      <c r="T286" s="10">
        <f t="shared" si="139"/>
        <v>28.249999999999996</v>
      </c>
    </row>
    <row r="287" spans="1:20" x14ac:dyDescent="0.35">
      <c r="A287" s="11">
        <v>51</v>
      </c>
      <c r="B287" s="15" t="s">
        <v>88</v>
      </c>
      <c r="C287" s="7" t="s">
        <v>24</v>
      </c>
      <c r="D287" s="7">
        <v>1</v>
      </c>
      <c r="E287" s="7">
        <v>1</v>
      </c>
      <c r="F287" s="13">
        <f>ROUND(0.85/0.2+1,0)</f>
        <v>5</v>
      </c>
      <c r="G287" s="10">
        <f t="shared" si="147"/>
        <v>5.6499999999999995</v>
      </c>
      <c r="H287" s="16">
        <f t="shared" si="148"/>
        <v>0.1</v>
      </c>
      <c r="I287" s="14">
        <f>5.6-0.05</f>
        <v>5.55</v>
      </c>
      <c r="J287" s="16"/>
      <c r="K287" s="10"/>
      <c r="L287" s="10"/>
      <c r="M287" s="10"/>
      <c r="N287" s="17"/>
      <c r="O287" s="10" t="str">
        <f t="shared" si="129"/>
        <v xml:space="preserve"> </v>
      </c>
      <c r="P287" s="10" t="str">
        <f t="shared" si="139"/>
        <v xml:space="preserve"> </v>
      </c>
      <c r="Q287" s="10" t="str">
        <f t="shared" si="139"/>
        <v xml:space="preserve"> </v>
      </c>
      <c r="R287" s="10" t="str">
        <f t="shared" si="139"/>
        <v xml:space="preserve"> </v>
      </c>
      <c r="S287" s="10" t="str">
        <f t="shared" si="139"/>
        <v xml:space="preserve"> </v>
      </c>
      <c r="T287" s="10">
        <f t="shared" si="139"/>
        <v>28.249999999999996</v>
      </c>
    </row>
    <row r="288" spans="1:20" x14ac:dyDescent="0.35">
      <c r="A288" s="11"/>
      <c r="B288" s="15"/>
      <c r="C288" s="7"/>
      <c r="D288" s="7"/>
      <c r="E288" s="7"/>
      <c r="F288" s="13"/>
      <c r="G288" s="10"/>
      <c r="H288" s="16"/>
      <c r="I288" s="14"/>
      <c r="J288" s="16"/>
      <c r="K288" s="10"/>
      <c r="L288" s="10"/>
      <c r="M288" s="10"/>
      <c r="N288" s="17"/>
      <c r="O288" s="10" t="str">
        <f t="shared" si="129"/>
        <v xml:space="preserve"> </v>
      </c>
      <c r="P288" s="10" t="str">
        <f t="shared" si="139"/>
        <v xml:space="preserve"> </v>
      </c>
      <c r="Q288" s="10" t="str">
        <f t="shared" si="139"/>
        <v xml:space="preserve"> </v>
      </c>
      <c r="R288" s="10" t="str">
        <f t="shared" si="139"/>
        <v xml:space="preserve"> </v>
      </c>
      <c r="S288" s="10" t="str">
        <f t="shared" si="139"/>
        <v xml:space="preserve"> </v>
      </c>
      <c r="T288" s="10" t="str">
        <f t="shared" si="139"/>
        <v xml:space="preserve"> </v>
      </c>
    </row>
    <row r="289" spans="1:20" x14ac:dyDescent="0.35">
      <c r="A289" s="18"/>
      <c r="B289" s="15"/>
      <c r="C289" s="7"/>
      <c r="D289" s="7"/>
      <c r="E289" s="7"/>
      <c r="F289" s="13"/>
      <c r="G289" s="10"/>
      <c r="H289" s="16"/>
      <c r="I289" s="14"/>
      <c r="J289" s="16"/>
      <c r="K289" s="10"/>
      <c r="L289" s="10"/>
      <c r="M289" s="10"/>
      <c r="N289" s="17"/>
      <c r="O289" s="10" t="str">
        <f t="shared" si="129"/>
        <v xml:space="preserve"> </v>
      </c>
      <c r="P289" s="10" t="str">
        <f t="shared" si="139"/>
        <v xml:space="preserve"> </v>
      </c>
      <c r="Q289" s="10" t="str">
        <f t="shared" si="139"/>
        <v xml:space="preserve"> </v>
      </c>
      <c r="R289" s="10" t="str">
        <f t="shared" si="139"/>
        <v xml:space="preserve"> </v>
      </c>
      <c r="S289" s="10" t="str">
        <f t="shared" si="139"/>
        <v xml:space="preserve"> </v>
      </c>
      <c r="T289" s="10" t="str">
        <f t="shared" si="139"/>
        <v xml:space="preserve"> </v>
      </c>
    </row>
    <row r="290" spans="1:20" ht="15" x14ac:dyDescent="0.35">
      <c r="A290" s="18"/>
      <c r="B290" s="80" t="s">
        <v>66</v>
      </c>
      <c r="C290" s="81"/>
      <c r="D290" s="81"/>
      <c r="E290" s="81"/>
      <c r="F290" s="81"/>
      <c r="G290" s="81"/>
      <c r="H290" s="81"/>
      <c r="I290" s="81"/>
      <c r="J290" s="81"/>
      <c r="K290" s="81"/>
      <c r="L290" s="81"/>
      <c r="M290" s="81"/>
      <c r="N290" s="82"/>
      <c r="O290" s="20">
        <f t="shared" ref="O290:T290" si="149">SUM(O7:O289)</f>
        <v>0</v>
      </c>
      <c r="P290" s="20">
        <f t="shared" si="149"/>
        <v>299.65000000000003</v>
      </c>
      <c r="Q290" s="20">
        <f t="shared" si="149"/>
        <v>873.10000000000014</v>
      </c>
      <c r="R290" s="20">
        <f t="shared" si="149"/>
        <v>173.60000000000005</v>
      </c>
      <c r="S290" s="20">
        <f t="shared" si="149"/>
        <v>2987.8829999999998</v>
      </c>
      <c r="T290" s="20">
        <f t="shared" si="149"/>
        <v>4295.1450000000004</v>
      </c>
    </row>
    <row r="291" spans="1:20" ht="17.5" x14ac:dyDescent="0.35">
      <c r="A291" s="83" t="s">
        <v>67</v>
      </c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</row>
    <row r="292" spans="1:20" x14ac:dyDescent="0.35">
      <c r="A292" s="21"/>
      <c r="B292" s="22"/>
      <c r="C292" s="22"/>
      <c r="D292" s="22"/>
      <c r="E292" s="23"/>
      <c r="F292" s="24"/>
      <c r="G292" s="24"/>
      <c r="H292" s="24"/>
      <c r="I292" s="22"/>
      <c r="J292" s="22"/>
      <c r="K292" s="22"/>
      <c r="L292" s="22"/>
      <c r="M292" s="22"/>
      <c r="N292" s="22"/>
      <c r="O292" s="25" t="s">
        <v>19</v>
      </c>
      <c r="P292" s="25" t="s">
        <v>20</v>
      </c>
      <c r="Q292" s="25" t="s">
        <v>21</v>
      </c>
      <c r="R292" s="25" t="s">
        <v>22</v>
      </c>
      <c r="S292" s="25" t="s">
        <v>23</v>
      </c>
      <c r="T292" s="25" t="s">
        <v>24</v>
      </c>
    </row>
    <row r="293" spans="1:20" x14ac:dyDescent="0.35">
      <c r="A293" s="21"/>
      <c r="B293" s="22"/>
      <c r="C293" s="22"/>
      <c r="D293" s="22"/>
      <c r="E293" s="23"/>
      <c r="F293" s="24"/>
      <c r="G293" s="24"/>
      <c r="H293" s="24"/>
      <c r="I293" s="22"/>
      <c r="J293" s="22"/>
      <c r="K293" s="22"/>
      <c r="L293" s="22"/>
      <c r="M293" s="22"/>
      <c r="N293" s="22"/>
      <c r="O293" s="14">
        <f t="shared" ref="O293:T293" si="150">O290</f>
        <v>0</v>
      </c>
      <c r="P293" s="14">
        <f t="shared" si="150"/>
        <v>299.65000000000003</v>
      </c>
      <c r="Q293" s="14">
        <f t="shared" si="150"/>
        <v>873.10000000000014</v>
      </c>
      <c r="R293" s="14">
        <f t="shared" si="150"/>
        <v>173.60000000000005</v>
      </c>
      <c r="S293" s="14">
        <f t="shared" si="150"/>
        <v>2987.8829999999998</v>
      </c>
      <c r="T293" s="14">
        <f t="shared" si="150"/>
        <v>4295.1450000000004</v>
      </c>
    </row>
    <row r="294" spans="1:20" x14ac:dyDescent="0.35">
      <c r="A294" s="21"/>
      <c r="B294" s="22"/>
      <c r="C294" s="69" t="s">
        <v>68</v>
      </c>
      <c r="D294" s="69"/>
      <c r="E294" s="69"/>
      <c r="F294" s="69"/>
      <c r="G294" s="69"/>
      <c r="H294" s="69"/>
      <c r="I294" s="69"/>
      <c r="J294" s="22"/>
      <c r="K294" s="22"/>
      <c r="L294" s="22"/>
      <c r="M294" s="22"/>
      <c r="N294" s="22"/>
      <c r="O294" s="14">
        <f t="shared" ref="O294:T294" si="151">O290</f>
        <v>0</v>
      </c>
      <c r="P294" s="14">
        <f t="shared" si="151"/>
        <v>299.65000000000003</v>
      </c>
      <c r="Q294" s="14">
        <f t="shared" si="151"/>
        <v>873.10000000000014</v>
      </c>
      <c r="R294" s="14">
        <f t="shared" si="151"/>
        <v>173.60000000000005</v>
      </c>
      <c r="S294" s="14">
        <f t="shared" si="151"/>
        <v>2987.8829999999998</v>
      </c>
      <c r="T294" s="14">
        <f t="shared" si="151"/>
        <v>4295.1450000000004</v>
      </c>
    </row>
    <row r="295" spans="1:20" x14ac:dyDescent="0.35">
      <c r="A295" s="21"/>
      <c r="B295" s="25" t="s">
        <v>69</v>
      </c>
      <c r="C295" s="69" t="s">
        <v>70</v>
      </c>
      <c r="D295" s="69"/>
      <c r="E295" s="69"/>
      <c r="F295" s="69"/>
      <c r="G295" s="69"/>
      <c r="H295" s="69"/>
      <c r="I295" s="69"/>
      <c r="J295" s="22"/>
      <c r="K295" s="22"/>
      <c r="L295" s="22"/>
      <c r="M295" s="22"/>
      <c r="N295" s="22"/>
      <c r="O295" s="26" t="s">
        <v>71</v>
      </c>
      <c r="P295" s="26"/>
      <c r="Q295" s="26"/>
      <c r="R295" s="26"/>
      <c r="S295" s="69" t="s">
        <v>72</v>
      </c>
      <c r="T295" s="69"/>
    </row>
    <row r="296" spans="1:20" x14ac:dyDescent="0.35">
      <c r="A296" s="21"/>
      <c r="B296" s="22" t="s">
        <v>19</v>
      </c>
      <c r="C296" s="70">
        <f>O290</f>
        <v>0</v>
      </c>
      <c r="D296" s="70"/>
      <c r="E296" s="70"/>
      <c r="F296" s="70"/>
      <c r="G296" s="70"/>
      <c r="H296" s="70"/>
      <c r="I296" s="70"/>
      <c r="J296" s="22"/>
      <c r="K296" s="22"/>
      <c r="L296" s="22"/>
      <c r="M296" s="22"/>
      <c r="N296" s="72">
        <f>25*25/162.2</f>
        <v>3.8532675709001234</v>
      </c>
      <c r="O296" s="72"/>
      <c r="P296" s="72"/>
      <c r="Q296" s="24"/>
      <c r="R296" s="24"/>
      <c r="S296" s="14">
        <f t="shared" ref="S296:S301" si="152">C296*N296</f>
        <v>0</v>
      </c>
      <c r="T296" s="14">
        <f>S296/1000</f>
        <v>0</v>
      </c>
    </row>
    <row r="297" spans="1:20" x14ac:dyDescent="0.35">
      <c r="A297" s="21"/>
      <c r="B297" s="22" t="s">
        <v>20</v>
      </c>
      <c r="C297" s="70">
        <f>P290</f>
        <v>299.65000000000003</v>
      </c>
      <c r="D297" s="70"/>
      <c r="E297" s="70"/>
      <c r="F297" s="70"/>
      <c r="G297" s="70"/>
      <c r="H297" s="70"/>
      <c r="I297" s="70"/>
      <c r="J297" s="22"/>
      <c r="K297" s="22"/>
      <c r="L297" s="22"/>
      <c r="M297" s="22"/>
      <c r="N297" s="72">
        <f>20*20/162.2</f>
        <v>2.466091245376079</v>
      </c>
      <c r="O297" s="72"/>
      <c r="P297" s="72"/>
      <c r="Q297" s="24"/>
      <c r="R297" s="24"/>
      <c r="S297" s="14">
        <f t="shared" si="152"/>
        <v>738.96424167694215</v>
      </c>
      <c r="T297" s="22">
        <f t="shared" ref="T297:T301" si="153">S297/1000</f>
        <v>0.73896424167694219</v>
      </c>
    </row>
    <row r="298" spans="1:20" x14ac:dyDescent="0.35">
      <c r="A298" s="21"/>
      <c r="B298" s="22" t="s">
        <v>21</v>
      </c>
      <c r="C298" s="70">
        <f>Q290</f>
        <v>873.10000000000014</v>
      </c>
      <c r="D298" s="71"/>
      <c r="E298" s="71"/>
      <c r="F298" s="71"/>
      <c r="G298" s="71"/>
      <c r="H298" s="71"/>
      <c r="I298" s="71"/>
      <c r="J298" s="22"/>
      <c r="K298" s="22"/>
      <c r="L298" s="22"/>
      <c r="M298" s="22"/>
      <c r="N298" s="72">
        <f>16*16/162.2</f>
        <v>1.5782983970406905</v>
      </c>
      <c r="O298" s="72"/>
      <c r="P298" s="72"/>
      <c r="Q298" s="24"/>
      <c r="R298" s="24"/>
      <c r="S298" s="14">
        <f t="shared" si="152"/>
        <v>1378.0123304562271</v>
      </c>
      <c r="T298" s="22">
        <f t="shared" si="153"/>
        <v>1.3780123304562271</v>
      </c>
    </row>
    <row r="299" spans="1:20" x14ac:dyDescent="0.35">
      <c r="A299" s="21"/>
      <c r="B299" s="22" t="s">
        <v>22</v>
      </c>
      <c r="C299" s="70">
        <f>R290</f>
        <v>173.60000000000005</v>
      </c>
      <c r="D299" s="71"/>
      <c r="E299" s="71"/>
      <c r="F299" s="71"/>
      <c r="G299" s="71"/>
      <c r="H299" s="71"/>
      <c r="I299" s="71"/>
      <c r="J299" s="22"/>
      <c r="K299" s="22"/>
      <c r="L299" s="22"/>
      <c r="M299" s="22"/>
      <c r="N299" s="72">
        <f>12*12/162.2</f>
        <v>0.88779284833538852</v>
      </c>
      <c r="O299" s="72"/>
      <c r="P299" s="72"/>
      <c r="Q299" s="24"/>
      <c r="R299" s="24"/>
      <c r="S299" s="14">
        <f t="shared" si="152"/>
        <v>154.12083847102349</v>
      </c>
      <c r="T299" s="14">
        <f t="shared" si="153"/>
        <v>0.15412083847102348</v>
      </c>
    </row>
    <row r="300" spans="1:20" x14ac:dyDescent="0.35">
      <c r="A300" s="21"/>
      <c r="B300" s="22" t="s">
        <v>23</v>
      </c>
      <c r="C300" s="70">
        <f>S290</f>
        <v>2987.8829999999998</v>
      </c>
      <c r="D300" s="70"/>
      <c r="E300" s="70"/>
      <c r="F300" s="70"/>
      <c r="G300" s="70"/>
      <c r="H300" s="70"/>
      <c r="I300" s="70"/>
      <c r="J300" s="22"/>
      <c r="K300" s="22"/>
      <c r="L300" s="22"/>
      <c r="M300" s="22"/>
      <c r="N300" s="72">
        <f>10*10/162.2</f>
        <v>0.61652281134401976</v>
      </c>
      <c r="O300" s="72"/>
      <c r="P300" s="72"/>
      <c r="Q300" s="24"/>
      <c r="R300" s="24"/>
      <c r="S300" s="14">
        <f t="shared" si="152"/>
        <v>1842.0980271270037</v>
      </c>
      <c r="T300" s="14">
        <f t="shared" si="153"/>
        <v>1.8420980271270038</v>
      </c>
    </row>
    <row r="301" spans="1:20" x14ac:dyDescent="0.35">
      <c r="A301" s="21"/>
      <c r="B301" s="22" t="s">
        <v>24</v>
      </c>
      <c r="C301" s="73">
        <f>T290</f>
        <v>4295.1450000000004</v>
      </c>
      <c r="D301" s="74"/>
      <c r="E301" s="74"/>
      <c r="F301" s="74"/>
      <c r="G301" s="74"/>
      <c r="H301" s="74"/>
      <c r="I301" s="75"/>
      <c r="J301" s="22"/>
      <c r="K301" s="22"/>
      <c r="L301" s="22"/>
      <c r="M301" s="22"/>
      <c r="N301" s="76">
        <f>8*8/162.2</f>
        <v>0.39457459926017263</v>
      </c>
      <c r="O301" s="77"/>
      <c r="P301" s="78"/>
      <c r="Q301" s="24"/>
      <c r="R301" s="24"/>
      <c r="S301" s="14">
        <f t="shared" si="152"/>
        <v>1694.7551171393343</v>
      </c>
      <c r="T301" s="22">
        <f t="shared" si="153"/>
        <v>1.6947551171393342</v>
      </c>
    </row>
    <row r="302" spans="1:20" x14ac:dyDescent="0.35">
      <c r="A302" s="21"/>
      <c r="B302" s="22"/>
      <c r="C302" s="22"/>
      <c r="D302" s="22"/>
      <c r="E302" s="23"/>
      <c r="F302" s="24"/>
      <c r="G302" s="24"/>
      <c r="H302" s="24"/>
      <c r="I302" s="22"/>
      <c r="J302" s="22"/>
      <c r="K302" s="22"/>
      <c r="L302" s="22"/>
      <c r="M302" s="22"/>
      <c r="N302" s="69" t="s">
        <v>73</v>
      </c>
      <c r="O302" s="69"/>
      <c r="P302" s="69"/>
      <c r="Q302" s="69"/>
      <c r="R302" s="25"/>
      <c r="S302" s="25">
        <f>SUM(S296:S301)</f>
        <v>5807.9505548705301</v>
      </c>
      <c r="T302" s="27">
        <f>S302/1000</f>
        <v>5.8079505548705299</v>
      </c>
    </row>
    <row r="303" spans="1:20" x14ac:dyDescent="0.35">
      <c r="A303" s="21"/>
      <c r="B303" s="22"/>
      <c r="C303" s="22"/>
      <c r="D303" s="22"/>
      <c r="E303" s="23"/>
      <c r="F303" s="24"/>
      <c r="G303" s="24"/>
      <c r="H303" s="24"/>
      <c r="I303" s="22"/>
      <c r="J303" s="22"/>
      <c r="K303" s="22"/>
      <c r="L303" s="22"/>
      <c r="M303" s="22"/>
      <c r="N303" s="69" t="s">
        <v>74</v>
      </c>
      <c r="O303" s="69"/>
      <c r="P303" s="69"/>
      <c r="Q303" s="69"/>
      <c r="R303" s="25"/>
      <c r="S303" s="27">
        <f>S302/1000</f>
        <v>5.8079505548705299</v>
      </c>
      <c r="T303" s="26" t="s">
        <v>75</v>
      </c>
    </row>
  </sheetData>
  <mergeCells count="32">
    <mergeCell ref="B1:D1"/>
    <mergeCell ref="E1:F1"/>
    <mergeCell ref="G1:T1"/>
    <mergeCell ref="B2:D2"/>
    <mergeCell ref="E2:F2"/>
    <mergeCell ref="G2:T2"/>
    <mergeCell ref="O3:T3"/>
    <mergeCell ref="B290:N290"/>
    <mergeCell ref="A291:T291"/>
    <mergeCell ref="C294:I294"/>
    <mergeCell ref="C295:I295"/>
    <mergeCell ref="S295:T295"/>
    <mergeCell ref="A3:A4"/>
    <mergeCell ref="B3:B4"/>
    <mergeCell ref="C3:C4"/>
    <mergeCell ref="D3:F4"/>
    <mergeCell ref="G3:G4"/>
    <mergeCell ref="H3:L3"/>
    <mergeCell ref="C296:I296"/>
    <mergeCell ref="N296:P296"/>
    <mergeCell ref="C297:I297"/>
    <mergeCell ref="N297:P297"/>
    <mergeCell ref="C298:I298"/>
    <mergeCell ref="N298:P298"/>
    <mergeCell ref="N302:Q302"/>
    <mergeCell ref="N303:Q303"/>
    <mergeCell ref="C299:I299"/>
    <mergeCell ref="N299:P299"/>
    <mergeCell ref="C300:I300"/>
    <mergeCell ref="N300:P300"/>
    <mergeCell ref="C301:I301"/>
    <mergeCell ref="N301:P30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8DD08-1E20-4610-A282-36C8A2D5A087}">
  <dimension ref="A1:G49"/>
  <sheetViews>
    <sheetView topLeftCell="A10" workbookViewId="0">
      <selection activeCell="L52" sqref="L52"/>
    </sheetView>
  </sheetViews>
  <sheetFormatPr defaultRowHeight="14.5" x14ac:dyDescent="0.35"/>
  <cols>
    <col min="2" max="2" width="16.36328125" bestFit="1" customWidth="1"/>
    <col min="4" max="4" width="10.1796875" customWidth="1"/>
    <col min="7" max="7" width="13.08984375" customWidth="1"/>
  </cols>
  <sheetData>
    <row r="1" spans="1:7" ht="15" x14ac:dyDescent="0.35">
      <c r="A1" s="87" t="s">
        <v>122</v>
      </c>
      <c r="B1" s="87"/>
      <c r="C1" s="87"/>
      <c r="D1" s="87"/>
      <c r="E1" s="87"/>
      <c r="F1" s="87"/>
      <c r="G1" s="87"/>
    </row>
    <row r="2" spans="1:7" ht="30" x14ac:dyDescent="0.35">
      <c r="A2" s="64" t="s">
        <v>98</v>
      </c>
      <c r="B2" s="63" t="s">
        <v>99</v>
      </c>
      <c r="C2" s="64" t="s">
        <v>100</v>
      </c>
      <c r="D2" s="65" t="s">
        <v>116</v>
      </c>
      <c r="E2" s="65" t="s">
        <v>117</v>
      </c>
      <c r="F2" s="65" t="s">
        <v>118</v>
      </c>
      <c r="G2" s="64" t="s">
        <v>119</v>
      </c>
    </row>
    <row r="3" spans="1:7" x14ac:dyDescent="0.35">
      <c r="A3" s="24">
        <v>1</v>
      </c>
      <c r="B3" s="22" t="s">
        <v>123</v>
      </c>
      <c r="C3" s="24">
        <v>1</v>
      </c>
      <c r="D3" s="60">
        <v>13.779</v>
      </c>
      <c r="E3" s="60">
        <v>7.4</v>
      </c>
      <c r="F3" s="61">
        <v>0.15</v>
      </c>
      <c r="G3" s="61">
        <f>C3*D3*E3*F3</f>
        <v>15.294689999999999</v>
      </c>
    </row>
    <row r="4" spans="1:7" x14ac:dyDescent="0.35">
      <c r="A4" s="24">
        <v>2</v>
      </c>
      <c r="B4" s="22" t="s">
        <v>124</v>
      </c>
      <c r="C4" s="24">
        <v>1</v>
      </c>
      <c r="D4" s="60">
        <v>7.6210000000000004</v>
      </c>
      <c r="E4" s="60">
        <v>9.4250000000000007</v>
      </c>
      <c r="F4" s="61">
        <v>0.15</v>
      </c>
      <c r="G4" s="61">
        <f t="shared" ref="G4:G5" si="0">C4*D4*E4*F4</f>
        <v>10.77418875</v>
      </c>
    </row>
    <row r="5" spans="1:7" x14ac:dyDescent="0.35">
      <c r="A5" s="24">
        <v>3</v>
      </c>
      <c r="B5" s="22" t="s">
        <v>125</v>
      </c>
      <c r="C5" s="24">
        <v>-1</v>
      </c>
      <c r="D5" s="60">
        <v>3.15</v>
      </c>
      <c r="E5" s="60">
        <v>2.625</v>
      </c>
      <c r="F5" s="61">
        <v>0.15</v>
      </c>
      <c r="G5" s="61">
        <f t="shared" si="0"/>
        <v>-1.2403124999999997</v>
      </c>
    </row>
    <row r="6" spans="1:7" x14ac:dyDescent="0.35">
      <c r="A6" s="24"/>
      <c r="B6" s="22"/>
      <c r="C6" s="22"/>
      <c r="D6" s="62"/>
      <c r="E6" s="62"/>
      <c r="F6" s="61"/>
      <c r="G6" s="61"/>
    </row>
    <row r="7" spans="1:7" x14ac:dyDescent="0.35">
      <c r="A7" s="22"/>
      <c r="B7" s="69" t="s">
        <v>121</v>
      </c>
      <c r="C7" s="69"/>
      <c r="D7" s="69"/>
      <c r="E7" s="69"/>
      <c r="F7" s="69"/>
      <c r="G7" s="66">
        <f>SUM(G3:G6)</f>
        <v>24.828566250000002</v>
      </c>
    </row>
    <row r="8" spans="1:7" x14ac:dyDescent="0.35">
      <c r="A8" s="22"/>
      <c r="B8" s="69" t="s">
        <v>120</v>
      </c>
      <c r="C8" s="69"/>
      <c r="D8" s="69"/>
      <c r="E8" s="69"/>
      <c r="F8" s="69"/>
      <c r="G8" s="67">
        <f>G7*10%</f>
        <v>2.4828566250000002</v>
      </c>
    </row>
    <row r="9" spans="1:7" x14ac:dyDescent="0.35">
      <c r="A9" s="22"/>
      <c r="B9" s="69" t="s">
        <v>114</v>
      </c>
      <c r="C9" s="69"/>
      <c r="D9" s="69"/>
      <c r="E9" s="69"/>
      <c r="F9" s="69"/>
      <c r="G9" s="66">
        <f>G7+G8</f>
        <v>27.311422875000002</v>
      </c>
    </row>
    <row r="12" spans="1:7" ht="15" x14ac:dyDescent="0.35">
      <c r="A12" s="87" t="s">
        <v>126</v>
      </c>
      <c r="B12" s="87"/>
      <c r="C12" s="87"/>
      <c r="D12" s="87"/>
      <c r="E12" s="87"/>
      <c r="F12" s="87"/>
      <c r="G12" s="87"/>
    </row>
    <row r="13" spans="1:7" ht="30" x14ac:dyDescent="0.35">
      <c r="A13" s="64" t="s">
        <v>98</v>
      </c>
      <c r="B13" s="63" t="s">
        <v>99</v>
      </c>
      <c r="C13" s="64" t="s">
        <v>100</v>
      </c>
      <c r="D13" s="65" t="s">
        <v>116</v>
      </c>
      <c r="E13" s="65" t="s">
        <v>117</v>
      </c>
      <c r="F13" s="65" t="s">
        <v>118</v>
      </c>
      <c r="G13" s="64" t="s">
        <v>119</v>
      </c>
    </row>
    <row r="14" spans="1:7" x14ac:dyDescent="0.35">
      <c r="A14" s="24">
        <v>1</v>
      </c>
      <c r="B14" s="15" t="s">
        <v>27</v>
      </c>
      <c r="C14" s="24">
        <v>2</v>
      </c>
      <c r="D14" s="60">
        <v>3.4249999999999998</v>
      </c>
      <c r="E14" s="60">
        <v>0.3</v>
      </c>
      <c r="F14" s="61">
        <v>0.75</v>
      </c>
      <c r="G14" s="61">
        <f>C14*D14*E14*F14</f>
        <v>1.5412499999999998</v>
      </c>
    </row>
    <row r="15" spans="1:7" x14ac:dyDescent="0.35">
      <c r="A15" s="24">
        <v>2</v>
      </c>
      <c r="B15" s="15" t="s">
        <v>34</v>
      </c>
      <c r="C15" s="24">
        <v>2</v>
      </c>
      <c r="D15" s="60">
        <v>2.9</v>
      </c>
      <c r="E15" s="60">
        <v>0.3</v>
      </c>
      <c r="F15" s="61">
        <v>0.75</v>
      </c>
      <c r="G15" s="61">
        <f t="shared" ref="G15:G44" si="1">C15*D15*E15*F15</f>
        <v>1.3049999999999999</v>
      </c>
    </row>
    <row r="16" spans="1:7" x14ac:dyDescent="0.35">
      <c r="A16" s="24">
        <v>3</v>
      </c>
      <c r="B16" s="15" t="s">
        <v>36</v>
      </c>
      <c r="C16" s="24">
        <v>2</v>
      </c>
      <c r="D16" s="60">
        <v>5.375</v>
      </c>
      <c r="E16" s="60">
        <v>0.3</v>
      </c>
      <c r="F16" s="61">
        <v>0.75</v>
      </c>
      <c r="G16" s="61">
        <f t="shared" si="1"/>
        <v>2.4187500000000002</v>
      </c>
    </row>
    <row r="17" spans="1:7" x14ac:dyDescent="0.35">
      <c r="A17" s="24">
        <v>4</v>
      </c>
      <c r="B17" s="15" t="s">
        <v>42</v>
      </c>
      <c r="C17" s="24">
        <v>2</v>
      </c>
      <c r="D17" s="60">
        <v>2.2000000000000002</v>
      </c>
      <c r="E17" s="60">
        <v>0.3</v>
      </c>
      <c r="F17" s="61">
        <v>0.75</v>
      </c>
      <c r="G17" s="61">
        <f t="shared" si="1"/>
        <v>0.99</v>
      </c>
    </row>
    <row r="18" spans="1:7" x14ac:dyDescent="0.35">
      <c r="A18" s="24">
        <v>5</v>
      </c>
      <c r="B18" s="15" t="s">
        <v>43</v>
      </c>
      <c r="C18" s="24">
        <v>2</v>
      </c>
      <c r="D18" s="60">
        <v>2.8250000000000002</v>
      </c>
      <c r="E18" s="60">
        <v>0.3</v>
      </c>
      <c r="F18" s="61">
        <v>0.75</v>
      </c>
      <c r="G18" s="61">
        <f t="shared" si="1"/>
        <v>1.27125</v>
      </c>
    </row>
    <row r="19" spans="1:7" x14ac:dyDescent="0.35">
      <c r="A19" s="24">
        <v>6</v>
      </c>
      <c r="B19" s="15" t="s">
        <v>44</v>
      </c>
      <c r="C19" s="24">
        <v>2</v>
      </c>
      <c r="D19" s="60">
        <v>0.72499999999999998</v>
      </c>
      <c r="E19" s="60">
        <v>0.3</v>
      </c>
      <c r="F19" s="61">
        <v>0.75</v>
      </c>
      <c r="G19" s="61">
        <f t="shared" si="1"/>
        <v>0.32624999999999998</v>
      </c>
    </row>
    <row r="20" spans="1:7" x14ac:dyDescent="0.35">
      <c r="A20" s="24">
        <v>7</v>
      </c>
      <c r="B20" s="15" t="s">
        <v>45</v>
      </c>
      <c r="C20" s="24">
        <v>1</v>
      </c>
      <c r="D20" s="60">
        <v>2.2869999999999999</v>
      </c>
      <c r="E20" s="60">
        <v>0.23</v>
      </c>
      <c r="F20" s="61">
        <v>0.75</v>
      </c>
      <c r="G20" s="61">
        <f t="shared" si="1"/>
        <v>0.39450750000000001</v>
      </c>
    </row>
    <row r="21" spans="1:7" x14ac:dyDescent="0.35">
      <c r="A21" s="24">
        <v>8</v>
      </c>
      <c r="B21" s="15" t="s">
        <v>46</v>
      </c>
      <c r="C21" s="24">
        <v>1</v>
      </c>
      <c r="D21" s="60">
        <v>3.05</v>
      </c>
      <c r="E21" s="60">
        <v>0.23</v>
      </c>
      <c r="F21" s="61">
        <v>0.75</v>
      </c>
      <c r="G21" s="61">
        <f t="shared" si="1"/>
        <v>0.52612499999999995</v>
      </c>
    </row>
    <row r="22" spans="1:7" x14ac:dyDescent="0.35">
      <c r="A22" s="24">
        <v>9</v>
      </c>
      <c r="B22" s="15" t="s">
        <v>47</v>
      </c>
      <c r="C22" s="24">
        <v>1</v>
      </c>
      <c r="D22" s="60">
        <v>0.77500000000000002</v>
      </c>
      <c r="E22" s="60">
        <v>0.23</v>
      </c>
      <c r="F22" s="61">
        <v>0.75</v>
      </c>
      <c r="G22" s="61">
        <f t="shared" si="1"/>
        <v>0.13368750000000001</v>
      </c>
    </row>
    <row r="23" spans="1:7" x14ac:dyDescent="0.35">
      <c r="A23" s="24">
        <v>10</v>
      </c>
      <c r="B23" s="15" t="s">
        <v>48</v>
      </c>
      <c r="C23" s="24">
        <v>1</v>
      </c>
      <c r="D23" s="60">
        <v>0.9</v>
      </c>
      <c r="E23" s="60">
        <v>0.3</v>
      </c>
      <c r="F23" s="61">
        <v>0.75</v>
      </c>
      <c r="G23" s="61">
        <f t="shared" si="1"/>
        <v>0.20250000000000001</v>
      </c>
    </row>
    <row r="24" spans="1:7" x14ac:dyDescent="0.35">
      <c r="A24" s="24">
        <v>11</v>
      </c>
      <c r="B24" s="15" t="s">
        <v>49</v>
      </c>
      <c r="C24" s="24">
        <v>1</v>
      </c>
      <c r="D24" s="60">
        <v>4.4000000000000004</v>
      </c>
      <c r="E24" s="60">
        <v>0.3</v>
      </c>
      <c r="F24" s="61">
        <v>0.75</v>
      </c>
      <c r="G24" s="61">
        <f t="shared" si="1"/>
        <v>0.99</v>
      </c>
    </row>
    <row r="25" spans="1:7" x14ac:dyDescent="0.35">
      <c r="A25" s="24">
        <v>12</v>
      </c>
      <c r="B25" s="15" t="s">
        <v>50</v>
      </c>
      <c r="C25" s="24">
        <v>1</v>
      </c>
      <c r="D25" s="60">
        <v>0.9</v>
      </c>
      <c r="E25" s="60">
        <v>0.3</v>
      </c>
      <c r="F25" s="61">
        <v>0.75</v>
      </c>
      <c r="G25" s="61">
        <f t="shared" si="1"/>
        <v>0.20250000000000001</v>
      </c>
    </row>
    <row r="26" spans="1:7" x14ac:dyDescent="0.35">
      <c r="A26" s="24">
        <v>13</v>
      </c>
      <c r="B26" s="15" t="s">
        <v>51</v>
      </c>
      <c r="C26" s="24">
        <v>1</v>
      </c>
      <c r="D26" s="60">
        <v>0.92500000000000004</v>
      </c>
      <c r="E26" s="60">
        <v>0.3</v>
      </c>
      <c r="F26" s="61">
        <v>0.6</v>
      </c>
      <c r="G26" s="61">
        <f t="shared" si="1"/>
        <v>0.16650000000000001</v>
      </c>
    </row>
    <row r="27" spans="1:7" x14ac:dyDescent="0.35">
      <c r="A27" s="24">
        <v>14</v>
      </c>
      <c r="B27" s="15" t="s">
        <v>52</v>
      </c>
      <c r="C27" s="24">
        <v>1</v>
      </c>
      <c r="D27" s="60">
        <v>4.45</v>
      </c>
      <c r="E27" s="60">
        <v>0.3</v>
      </c>
      <c r="F27" s="61">
        <v>0.6</v>
      </c>
      <c r="G27" s="61">
        <f t="shared" si="1"/>
        <v>0.80099999999999993</v>
      </c>
    </row>
    <row r="28" spans="1:7" x14ac:dyDescent="0.35">
      <c r="A28" s="24">
        <v>15</v>
      </c>
      <c r="B28" s="15" t="s">
        <v>53</v>
      </c>
      <c r="C28" s="24">
        <v>1</v>
      </c>
      <c r="D28" s="60">
        <v>0.92500000000000004</v>
      </c>
      <c r="E28" s="60">
        <v>0.3</v>
      </c>
      <c r="F28" s="61">
        <v>0.6</v>
      </c>
      <c r="G28" s="61">
        <f t="shared" si="1"/>
        <v>0.16650000000000001</v>
      </c>
    </row>
    <row r="29" spans="1:7" x14ac:dyDescent="0.35">
      <c r="A29" s="24">
        <v>16</v>
      </c>
      <c r="B29" s="15" t="s">
        <v>54</v>
      </c>
      <c r="C29" s="24">
        <v>2</v>
      </c>
      <c r="D29" s="60">
        <v>4.7</v>
      </c>
      <c r="E29" s="60">
        <v>0.3</v>
      </c>
      <c r="F29" s="61">
        <v>0.6</v>
      </c>
      <c r="G29" s="61">
        <f t="shared" si="1"/>
        <v>1.6919999999999999</v>
      </c>
    </row>
    <row r="30" spans="1:7" x14ac:dyDescent="0.35">
      <c r="A30" s="24">
        <v>17</v>
      </c>
      <c r="B30" s="15" t="s">
        <v>55</v>
      </c>
      <c r="C30" s="24">
        <v>1</v>
      </c>
      <c r="D30" s="60">
        <v>0.875</v>
      </c>
      <c r="E30" s="60">
        <v>0.3</v>
      </c>
      <c r="F30" s="61">
        <v>0.55000000000000004</v>
      </c>
      <c r="G30" s="61">
        <f t="shared" si="1"/>
        <v>0.14437500000000003</v>
      </c>
    </row>
    <row r="31" spans="1:7" x14ac:dyDescent="0.35">
      <c r="A31" s="24">
        <v>18</v>
      </c>
      <c r="B31" s="15" t="s">
        <v>56</v>
      </c>
      <c r="C31" s="24">
        <v>1</v>
      </c>
      <c r="D31" s="60">
        <v>4.3499999999999996</v>
      </c>
      <c r="E31" s="60">
        <v>0.3</v>
      </c>
      <c r="F31" s="61">
        <v>0.55000000000000004</v>
      </c>
      <c r="G31" s="61">
        <f t="shared" si="1"/>
        <v>0.71775</v>
      </c>
    </row>
    <row r="32" spans="1:7" x14ac:dyDescent="0.35">
      <c r="A32" s="24">
        <v>19</v>
      </c>
      <c r="B32" s="15" t="s">
        <v>57</v>
      </c>
      <c r="C32" s="24">
        <v>1</v>
      </c>
      <c r="D32" s="60">
        <v>0.875</v>
      </c>
      <c r="E32" s="60">
        <v>0.3</v>
      </c>
      <c r="F32" s="61">
        <v>0.55000000000000004</v>
      </c>
      <c r="G32" s="61">
        <f t="shared" si="1"/>
        <v>0.14437500000000003</v>
      </c>
    </row>
    <row r="33" spans="1:7" x14ac:dyDescent="0.35">
      <c r="A33" s="24">
        <v>20</v>
      </c>
      <c r="B33" s="15" t="s">
        <v>58</v>
      </c>
      <c r="C33" s="24">
        <v>2</v>
      </c>
      <c r="D33" s="60">
        <v>4.7</v>
      </c>
      <c r="E33" s="60">
        <v>0.3</v>
      </c>
      <c r="F33" s="61">
        <v>0.55000000000000004</v>
      </c>
      <c r="G33" s="61">
        <f t="shared" si="1"/>
        <v>1.5509999999999999</v>
      </c>
    </row>
    <row r="34" spans="1:7" x14ac:dyDescent="0.35">
      <c r="A34" s="24">
        <v>21</v>
      </c>
      <c r="B34" s="15" t="s">
        <v>59</v>
      </c>
      <c r="C34" s="24">
        <v>1</v>
      </c>
      <c r="D34" s="60">
        <v>1.05</v>
      </c>
      <c r="E34" s="60">
        <v>0.3</v>
      </c>
      <c r="F34" s="61">
        <v>0.55000000000000004</v>
      </c>
      <c r="G34" s="61">
        <f t="shared" si="1"/>
        <v>0.17325000000000002</v>
      </c>
    </row>
    <row r="35" spans="1:7" x14ac:dyDescent="0.35">
      <c r="A35" s="24">
        <v>22</v>
      </c>
      <c r="B35" s="15" t="s">
        <v>61</v>
      </c>
      <c r="C35" s="24">
        <v>1</v>
      </c>
      <c r="D35" s="60">
        <v>4.45</v>
      </c>
      <c r="E35" s="60">
        <v>0.3</v>
      </c>
      <c r="F35" s="61">
        <v>0.55000000000000004</v>
      </c>
      <c r="G35" s="61">
        <f t="shared" si="1"/>
        <v>0.73425000000000007</v>
      </c>
    </row>
    <row r="36" spans="1:7" x14ac:dyDescent="0.35">
      <c r="A36" s="24">
        <v>23</v>
      </c>
      <c r="B36" s="15" t="s">
        <v>62</v>
      </c>
      <c r="C36" s="24">
        <v>1</v>
      </c>
      <c r="D36" s="62">
        <v>2.625</v>
      </c>
      <c r="E36" s="60">
        <v>0.3</v>
      </c>
      <c r="F36" s="61">
        <v>0.6</v>
      </c>
      <c r="G36" s="61">
        <f t="shared" si="1"/>
        <v>0.47249999999999998</v>
      </c>
    </row>
    <row r="37" spans="1:7" x14ac:dyDescent="0.35">
      <c r="A37" s="24">
        <v>24</v>
      </c>
      <c r="B37" s="15" t="s">
        <v>62</v>
      </c>
      <c r="C37" s="24">
        <v>1</v>
      </c>
      <c r="D37" s="62">
        <v>2.375</v>
      </c>
      <c r="E37" s="60">
        <v>0.3</v>
      </c>
      <c r="F37" s="61">
        <v>0.6</v>
      </c>
      <c r="G37" s="61">
        <f t="shared" ref="G37" si="2">C37*D37*E37*F37</f>
        <v>0.42749999999999999</v>
      </c>
    </row>
    <row r="38" spans="1:7" x14ac:dyDescent="0.35">
      <c r="A38" s="24">
        <v>25</v>
      </c>
      <c r="B38" s="15" t="s">
        <v>62</v>
      </c>
      <c r="C38" s="24">
        <v>1</v>
      </c>
      <c r="D38" s="62">
        <v>2.5</v>
      </c>
      <c r="E38" s="60">
        <v>0.3</v>
      </c>
      <c r="F38" s="61">
        <v>0.6</v>
      </c>
      <c r="G38" s="61">
        <f t="shared" ref="G38" si="3">C38*D38*E38*F38</f>
        <v>0.44999999999999996</v>
      </c>
    </row>
    <row r="39" spans="1:7" x14ac:dyDescent="0.35">
      <c r="A39" s="24">
        <v>26</v>
      </c>
      <c r="B39" s="15" t="s">
        <v>63</v>
      </c>
      <c r="C39" s="24">
        <v>1</v>
      </c>
      <c r="D39" s="62">
        <v>0.8</v>
      </c>
      <c r="E39" s="60">
        <v>0.3</v>
      </c>
      <c r="F39" s="61">
        <v>0.6</v>
      </c>
      <c r="G39" s="61">
        <f t="shared" si="1"/>
        <v>0.14399999999999999</v>
      </c>
    </row>
    <row r="40" spans="1:7" x14ac:dyDescent="0.35">
      <c r="A40" s="24">
        <v>27</v>
      </c>
      <c r="B40" s="15" t="s">
        <v>63</v>
      </c>
      <c r="C40" s="24">
        <v>1</v>
      </c>
      <c r="D40" s="62">
        <v>0.92500000000000004</v>
      </c>
      <c r="E40" s="60">
        <v>0.3</v>
      </c>
      <c r="F40" s="61">
        <v>0.6</v>
      </c>
      <c r="G40" s="61">
        <f t="shared" ref="G40" si="4">C40*D40*E40*F40</f>
        <v>0.16650000000000001</v>
      </c>
    </row>
    <row r="41" spans="1:7" x14ac:dyDescent="0.35">
      <c r="A41" s="24">
        <v>28</v>
      </c>
      <c r="B41" s="15" t="s">
        <v>64</v>
      </c>
      <c r="C41" s="24">
        <v>1</v>
      </c>
      <c r="D41" s="62">
        <v>4.2</v>
      </c>
      <c r="E41" s="60">
        <v>0.3</v>
      </c>
      <c r="F41" s="61">
        <v>0.6</v>
      </c>
      <c r="G41" s="61">
        <f t="shared" si="1"/>
        <v>0.75600000000000001</v>
      </c>
    </row>
    <row r="42" spans="1:7" x14ac:dyDescent="0.35">
      <c r="A42" s="24">
        <v>29</v>
      </c>
      <c r="B42" s="15" t="s">
        <v>64</v>
      </c>
      <c r="C42" s="24">
        <v>1</v>
      </c>
      <c r="D42" s="62">
        <v>4.45</v>
      </c>
      <c r="E42" s="60">
        <v>0.3</v>
      </c>
      <c r="F42" s="61">
        <v>0.6</v>
      </c>
      <c r="G42" s="61">
        <f t="shared" ref="G42" si="5">C42*D42*E42*F42</f>
        <v>0.80099999999999993</v>
      </c>
    </row>
    <row r="43" spans="1:7" x14ac:dyDescent="0.35">
      <c r="A43" s="24">
        <v>30</v>
      </c>
      <c r="B43" s="15" t="s">
        <v>65</v>
      </c>
      <c r="C43" s="24">
        <v>2</v>
      </c>
      <c r="D43" s="62">
        <v>3.4249999999999998</v>
      </c>
      <c r="E43" s="60">
        <v>0.3</v>
      </c>
      <c r="F43" s="61">
        <v>0.75</v>
      </c>
      <c r="G43" s="61">
        <f t="shared" si="1"/>
        <v>1.5412499999999998</v>
      </c>
    </row>
    <row r="44" spans="1:7" x14ac:dyDescent="0.35">
      <c r="A44" s="24">
        <v>31</v>
      </c>
      <c r="B44" s="15" t="s">
        <v>65</v>
      </c>
      <c r="C44" s="24">
        <v>2</v>
      </c>
      <c r="D44" s="62">
        <v>4.45</v>
      </c>
      <c r="E44" s="60">
        <v>0.3</v>
      </c>
      <c r="F44" s="61">
        <v>0.75</v>
      </c>
      <c r="G44" s="61">
        <f t="shared" si="1"/>
        <v>2.0024999999999999</v>
      </c>
    </row>
    <row r="45" spans="1:7" x14ac:dyDescent="0.35">
      <c r="A45" s="24"/>
      <c r="B45" s="12"/>
      <c r="C45" s="22"/>
      <c r="D45" s="62"/>
      <c r="E45" s="62"/>
      <c r="F45" s="61"/>
      <c r="G45" s="61"/>
    </row>
    <row r="46" spans="1:7" x14ac:dyDescent="0.35">
      <c r="A46" s="24"/>
      <c r="B46" s="12"/>
      <c r="C46" s="22"/>
      <c r="D46" s="62"/>
      <c r="E46" s="62"/>
      <c r="F46" s="61"/>
      <c r="G46" s="61"/>
    </row>
    <row r="47" spans="1:7" x14ac:dyDescent="0.35">
      <c r="A47" s="22"/>
      <c r="B47" s="69" t="s">
        <v>121</v>
      </c>
      <c r="C47" s="69"/>
      <c r="D47" s="69"/>
      <c r="E47" s="69"/>
      <c r="F47" s="69"/>
      <c r="G47" s="66">
        <f>SUM(G14:G44)</f>
        <v>23.354069999999997</v>
      </c>
    </row>
    <row r="48" spans="1:7" x14ac:dyDescent="0.35">
      <c r="A48" s="22"/>
      <c r="B48" s="69" t="s">
        <v>120</v>
      </c>
      <c r="C48" s="69"/>
      <c r="D48" s="69"/>
      <c r="E48" s="69"/>
      <c r="F48" s="69"/>
      <c r="G48" s="67">
        <f>G47*10%</f>
        <v>2.3354069999999996</v>
      </c>
    </row>
    <row r="49" spans="1:7" x14ac:dyDescent="0.35">
      <c r="A49" s="22"/>
      <c r="B49" s="69" t="s">
        <v>114</v>
      </c>
      <c r="C49" s="69"/>
      <c r="D49" s="69"/>
      <c r="E49" s="69"/>
      <c r="F49" s="69"/>
      <c r="G49" s="66">
        <f>G47+G48</f>
        <v>25.689476999999997</v>
      </c>
    </row>
  </sheetData>
  <mergeCells count="8">
    <mergeCell ref="B48:F48"/>
    <mergeCell ref="B49:F49"/>
    <mergeCell ref="A1:G1"/>
    <mergeCell ref="B7:F7"/>
    <mergeCell ref="B8:F8"/>
    <mergeCell ref="B9:F9"/>
    <mergeCell ref="A12:G12"/>
    <mergeCell ref="B47:F4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74A2B-DB73-4030-A3BC-68263675BFD9}">
  <dimension ref="A1:T52"/>
  <sheetViews>
    <sheetView tabSelected="1" workbookViewId="0">
      <selection activeCell="J28" sqref="J28"/>
    </sheetView>
  </sheetViews>
  <sheetFormatPr defaultRowHeight="14.5" x14ac:dyDescent="0.35"/>
  <cols>
    <col min="2" max="2" width="21.90625" bestFit="1" customWidth="1"/>
    <col min="4" max="4" width="4.6328125" customWidth="1"/>
    <col min="5" max="5" width="6.453125" customWidth="1"/>
    <col min="6" max="6" width="7.08984375" customWidth="1"/>
  </cols>
  <sheetData>
    <row r="1" spans="1:20" ht="15.5" x14ac:dyDescent="0.35">
      <c r="A1" s="1"/>
      <c r="B1" s="86" t="s">
        <v>0</v>
      </c>
      <c r="C1" s="86"/>
      <c r="D1" s="86"/>
      <c r="E1" s="85" t="s">
        <v>1</v>
      </c>
      <c r="F1" s="85"/>
      <c r="G1" s="85" t="s">
        <v>92</v>
      </c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</row>
    <row r="2" spans="1:20" ht="15.5" x14ac:dyDescent="0.35">
      <c r="A2" s="1"/>
      <c r="B2" s="86" t="s">
        <v>3</v>
      </c>
      <c r="C2" s="86"/>
      <c r="D2" s="86"/>
      <c r="E2" s="84" t="s">
        <v>1</v>
      </c>
      <c r="F2" s="84"/>
      <c r="G2" s="85" t="s">
        <v>4</v>
      </c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</row>
    <row r="3" spans="1:20" ht="15" x14ac:dyDescent="0.35">
      <c r="A3" s="84" t="s">
        <v>5</v>
      </c>
      <c r="B3" s="85" t="s">
        <v>6</v>
      </c>
      <c r="C3" s="85" t="s">
        <v>7</v>
      </c>
      <c r="D3" s="84" t="s">
        <v>8</v>
      </c>
      <c r="E3" s="84"/>
      <c r="F3" s="84"/>
      <c r="G3" s="79" t="s">
        <v>9</v>
      </c>
      <c r="H3" s="84"/>
      <c r="I3" s="84"/>
      <c r="J3" s="84"/>
      <c r="K3" s="84"/>
      <c r="L3" s="84"/>
      <c r="M3" s="3"/>
      <c r="N3" s="3" t="s">
        <v>10</v>
      </c>
      <c r="O3" s="79" t="s">
        <v>11</v>
      </c>
      <c r="P3" s="79"/>
      <c r="Q3" s="79"/>
      <c r="R3" s="79"/>
      <c r="S3" s="79"/>
      <c r="T3" s="79"/>
    </row>
    <row r="4" spans="1:20" ht="15" x14ac:dyDescent="0.35">
      <c r="A4" s="84"/>
      <c r="B4" s="85"/>
      <c r="C4" s="85"/>
      <c r="D4" s="84"/>
      <c r="E4" s="84"/>
      <c r="F4" s="84"/>
      <c r="G4" s="79"/>
      <c r="H4" s="4" t="s">
        <v>12</v>
      </c>
      <c r="I4" s="4" t="s">
        <v>13</v>
      </c>
      <c r="J4" s="4" t="s">
        <v>14</v>
      </c>
      <c r="K4" s="4" t="s">
        <v>15</v>
      </c>
      <c r="L4" s="4" t="s">
        <v>16</v>
      </c>
      <c r="M4" s="4" t="s">
        <v>17</v>
      </c>
      <c r="N4" s="4" t="s">
        <v>18</v>
      </c>
      <c r="O4" s="3" t="s">
        <v>19</v>
      </c>
      <c r="P4" s="3" t="s">
        <v>20</v>
      </c>
      <c r="Q4" s="3" t="s">
        <v>21</v>
      </c>
      <c r="R4" s="3" t="s">
        <v>22</v>
      </c>
      <c r="S4" s="3" t="s">
        <v>23</v>
      </c>
      <c r="T4" s="2" t="s">
        <v>24</v>
      </c>
    </row>
    <row r="5" spans="1:20" ht="28" x14ac:dyDescent="0.35">
      <c r="A5" s="5" t="s">
        <v>25</v>
      </c>
      <c r="B5" s="6" t="s">
        <v>91</v>
      </c>
      <c r="C5" s="7"/>
      <c r="D5" s="5" t="s">
        <v>95</v>
      </c>
      <c r="E5" s="5" t="s">
        <v>96</v>
      </c>
      <c r="F5" s="28" t="s">
        <v>97</v>
      </c>
      <c r="G5" s="8"/>
      <c r="H5" s="9"/>
      <c r="I5" s="8"/>
      <c r="J5" s="9"/>
      <c r="K5" s="8"/>
      <c r="L5" s="8"/>
      <c r="M5" s="8"/>
      <c r="N5" s="8"/>
      <c r="O5" s="10" t="s">
        <v>26</v>
      </c>
      <c r="P5" s="10" t="s">
        <v>26</v>
      </c>
      <c r="Q5" s="10" t="s">
        <v>26</v>
      </c>
      <c r="R5" s="10" t="s">
        <v>26</v>
      </c>
      <c r="S5" s="10" t="s">
        <v>26</v>
      </c>
      <c r="T5" s="10"/>
    </row>
    <row r="6" spans="1:20" x14ac:dyDescent="0.35">
      <c r="A6" s="11">
        <v>1</v>
      </c>
      <c r="B6" s="15" t="s">
        <v>93</v>
      </c>
      <c r="C6" s="7" t="s">
        <v>24</v>
      </c>
      <c r="D6" s="7">
        <v>1</v>
      </c>
      <c r="E6" s="7">
        <v>1</v>
      </c>
      <c r="F6" s="13">
        <f>ROUND(I7/0.2+1,0)</f>
        <v>56</v>
      </c>
      <c r="G6" s="10">
        <f>SUM(H6:N6)</f>
        <v>25.200000000000003</v>
      </c>
      <c r="H6" s="16">
        <v>0.1</v>
      </c>
      <c r="I6" s="14">
        <v>25</v>
      </c>
      <c r="J6" s="16">
        <v>0.1</v>
      </c>
      <c r="K6" s="8"/>
      <c r="L6" s="8"/>
      <c r="M6" s="8"/>
      <c r="N6" s="10"/>
      <c r="O6" s="10" t="str">
        <f>IF($C6=O$4,$D6*$E6*$F6*$G6," ")</f>
        <v xml:space="preserve"> </v>
      </c>
      <c r="P6" s="10" t="str">
        <f t="shared" ref="P6:T7" si="0">IF($C6=P$4,$D6*$E6*$F6*$G6," ")</f>
        <v xml:space="preserve"> </v>
      </c>
      <c r="Q6" s="10" t="str">
        <f t="shared" si="0"/>
        <v xml:space="preserve"> </v>
      </c>
      <c r="R6" s="10" t="str">
        <f t="shared" si="0"/>
        <v xml:space="preserve"> </v>
      </c>
      <c r="S6" s="10" t="str">
        <f t="shared" si="0"/>
        <v xml:space="preserve"> </v>
      </c>
      <c r="T6" s="10">
        <f t="shared" si="0"/>
        <v>1411.2000000000003</v>
      </c>
    </row>
    <row r="7" spans="1:20" x14ac:dyDescent="0.35">
      <c r="A7" s="11">
        <v>2</v>
      </c>
      <c r="B7" s="15" t="s">
        <v>94</v>
      </c>
      <c r="C7" s="7" t="s">
        <v>24</v>
      </c>
      <c r="D7" s="7">
        <v>1</v>
      </c>
      <c r="E7" s="7">
        <v>1</v>
      </c>
      <c r="F7" s="13">
        <f>ROUND(I6/0.2+1,0)</f>
        <v>126</v>
      </c>
      <c r="G7" s="10">
        <f>SUM(H7:N7)</f>
        <v>11.1</v>
      </c>
      <c r="H7" s="16">
        <v>0.1</v>
      </c>
      <c r="I7" s="14">
        <v>10.9</v>
      </c>
      <c r="J7" s="16">
        <v>0.1</v>
      </c>
      <c r="K7" s="10"/>
      <c r="L7" s="10"/>
      <c r="M7" s="10"/>
      <c r="N7" s="10"/>
      <c r="O7" s="10" t="str">
        <f>IF($C7=O$4,$D7*$E7*$F7*$G7," ")</f>
        <v xml:space="preserve"> </v>
      </c>
      <c r="P7" s="10" t="str">
        <f t="shared" si="0"/>
        <v xml:space="preserve"> </v>
      </c>
      <c r="Q7" s="10" t="str">
        <f t="shared" si="0"/>
        <v xml:space="preserve"> </v>
      </c>
      <c r="R7" s="10" t="str">
        <f t="shared" si="0"/>
        <v xml:space="preserve"> </v>
      </c>
      <c r="S7" s="10" t="str">
        <f t="shared" si="0"/>
        <v xml:space="preserve"> </v>
      </c>
      <c r="T7" s="10">
        <f t="shared" si="0"/>
        <v>1398.6</v>
      </c>
    </row>
    <row r="8" spans="1:20" ht="15" x14ac:dyDescent="0.35">
      <c r="A8" s="18"/>
      <c r="B8" s="80" t="s">
        <v>66</v>
      </c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2"/>
      <c r="O8" s="20">
        <f t="shared" ref="O8:T8" si="1">SUM(O6:O7)</f>
        <v>0</v>
      </c>
      <c r="P8" s="20">
        <f t="shared" si="1"/>
        <v>0</v>
      </c>
      <c r="Q8" s="20">
        <f t="shared" si="1"/>
        <v>0</v>
      </c>
      <c r="R8" s="20">
        <f t="shared" si="1"/>
        <v>0</v>
      </c>
      <c r="S8" s="20">
        <f t="shared" si="1"/>
        <v>0</v>
      </c>
      <c r="T8" s="20">
        <f t="shared" si="1"/>
        <v>2809.8</v>
      </c>
    </row>
    <row r="9" spans="1:20" ht="17.5" x14ac:dyDescent="0.35">
      <c r="A9" s="83" t="s">
        <v>67</v>
      </c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</row>
    <row r="10" spans="1:20" x14ac:dyDescent="0.35">
      <c r="A10" s="21"/>
      <c r="B10" s="22"/>
      <c r="C10" s="22"/>
      <c r="D10" s="22"/>
      <c r="E10" s="23"/>
      <c r="F10" s="24"/>
      <c r="G10" s="24"/>
      <c r="H10" s="24"/>
      <c r="I10" s="22"/>
      <c r="J10" s="22"/>
      <c r="K10" s="22"/>
      <c r="L10" s="22"/>
      <c r="M10" s="22"/>
      <c r="N10" s="22"/>
      <c r="O10" s="25" t="s">
        <v>19</v>
      </c>
      <c r="P10" s="25" t="s">
        <v>20</v>
      </c>
      <c r="Q10" s="25" t="s">
        <v>21</v>
      </c>
      <c r="R10" s="25" t="s">
        <v>22</v>
      </c>
      <c r="S10" s="25" t="s">
        <v>23</v>
      </c>
      <c r="T10" s="25" t="s">
        <v>24</v>
      </c>
    </row>
    <row r="11" spans="1:20" x14ac:dyDescent="0.35">
      <c r="A11" s="21"/>
      <c r="B11" s="22"/>
      <c r="C11" s="22"/>
      <c r="D11" s="22"/>
      <c r="E11" s="23"/>
      <c r="F11" s="24"/>
      <c r="G11" s="24"/>
      <c r="H11" s="24"/>
      <c r="I11" s="22"/>
      <c r="J11" s="22"/>
      <c r="K11" s="22"/>
      <c r="L11" s="22"/>
      <c r="M11" s="22"/>
      <c r="N11" s="22"/>
      <c r="O11" s="14">
        <f t="shared" ref="O11:T11" si="2">O8</f>
        <v>0</v>
      </c>
      <c r="P11" s="14">
        <f t="shared" si="2"/>
        <v>0</v>
      </c>
      <c r="Q11" s="14">
        <f t="shared" si="2"/>
        <v>0</v>
      </c>
      <c r="R11" s="14">
        <f t="shared" si="2"/>
        <v>0</v>
      </c>
      <c r="S11" s="14">
        <f t="shared" si="2"/>
        <v>0</v>
      </c>
      <c r="T11" s="14">
        <f t="shared" si="2"/>
        <v>2809.8</v>
      </c>
    </row>
    <row r="12" spans="1:20" x14ac:dyDescent="0.35">
      <c r="A12" s="21"/>
      <c r="B12" s="22"/>
      <c r="C12" s="69" t="s">
        <v>68</v>
      </c>
      <c r="D12" s="69"/>
      <c r="E12" s="69"/>
      <c r="F12" s="69"/>
      <c r="G12" s="69"/>
      <c r="H12" s="69"/>
      <c r="I12" s="69"/>
      <c r="J12" s="22"/>
      <c r="K12" s="22"/>
      <c r="L12" s="22"/>
      <c r="M12" s="22"/>
      <c r="N12" s="22"/>
      <c r="O12" s="14">
        <f t="shared" ref="O12:T12" si="3">O8</f>
        <v>0</v>
      </c>
      <c r="P12" s="14">
        <f t="shared" si="3"/>
        <v>0</v>
      </c>
      <c r="Q12" s="14">
        <f t="shared" si="3"/>
        <v>0</v>
      </c>
      <c r="R12" s="14">
        <f t="shared" si="3"/>
        <v>0</v>
      </c>
      <c r="S12" s="14">
        <f t="shared" si="3"/>
        <v>0</v>
      </c>
      <c r="T12" s="14">
        <f t="shared" si="3"/>
        <v>2809.8</v>
      </c>
    </row>
    <row r="13" spans="1:20" x14ac:dyDescent="0.35">
      <c r="A13" s="21"/>
      <c r="B13" s="25" t="s">
        <v>69</v>
      </c>
      <c r="C13" s="69" t="s">
        <v>70</v>
      </c>
      <c r="D13" s="69"/>
      <c r="E13" s="69"/>
      <c r="F13" s="69"/>
      <c r="G13" s="69"/>
      <c r="H13" s="69"/>
      <c r="I13" s="69"/>
      <c r="J13" s="22"/>
      <c r="K13" s="22"/>
      <c r="L13" s="22"/>
      <c r="M13" s="22"/>
      <c r="N13" s="22"/>
      <c r="O13" s="26" t="s">
        <v>71</v>
      </c>
      <c r="P13" s="26"/>
      <c r="Q13" s="26"/>
      <c r="R13" s="26"/>
      <c r="S13" s="69" t="s">
        <v>72</v>
      </c>
      <c r="T13" s="69"/>
    </row>
    <row r="14" spans="1:20" x14ac:dyDescent="0.35">
      <c r="A14" s="21"/>
      <c r="B14" s="22" t="s">
        <v>19</v>
      </c>
      <c r="C14" s="70">
        <f>O8</f>
        <v>0</v>
      </c>
      <c r="D14" s="70"/>
      <c r="E14" s="70"/>
      <c r="F14" s="70"/>
      <c r="G14" s="70"/>
      <c r="H14" s="70"/>
      <c r="I14" s="70"/>
      <c r="J14" s="22"/>
      <c r="K14" s="22"/>
      <c r="L14" s="22"/>
      <c r="M14" s="22"/>
      <c r="N14" s="88">
        <v>3.8580000000000001</v>
      </c>
      <c r="O14" s="88"/>
      <c r="P14" s="88"/>
      <c r="Q14" s="24"/>
      <c r="R14" s="24"/>
      <c r="S14" s="14">
        <f t="shared" ref="S14:S19" si="4">C14*N14</f>
        <v>0</v>
      </c>
      <c r="T14" s="14">
        <f>S14/1000</f>
        <v>0</v>
      </c>
    </row>
    <row r="15" spans="1:20" x14ac:dyDescent="0.35">
      <c r="A15" s="21"/>
      <c r="B15" s="22" t="s">
        <v>20</v>
      </c>
      <c r="C15" s="70">
        <f>P8</f>
        <v>0</v>
      </c>
      <c r="D15" s="70"/>
      <c r="E15" s="70"/>
      <c r="F15" s="70"/>
      <c r="G15" s="70"/>
      <c r="H15" s="70"/>
      <c r="I15" s="70"/>
      <c r="J15" s="22"/>
      <c r="K15" s="22"/>
      <c r="L15" s="22"/>
      <c r="M15" s="22"/>
      <c r="N15" s="88">
        <v>2.4689999999999999</v>
      </c>
      <c r="O15" s="88"/>
      <c r="P15" s="88"/>
      <c r="Q15" s="24"/>
      <c r="R15" s="24"/>
      <c r="S15" s="14">
        <f t="shared" si="4"/>
        <v>0</v>
      </c>
      <c r="T15" s="22">
        <f t="shared" ref="T15:T19" si="5">S15/1000</f>
        <v>0</v>
      </c>
    </row>
    <row r="16" spans="1:20" x14ac:dyDescent="0.35">
      <c r="A16" s="21"/>
      <c r="B16" s="22" t="s">
        <v>21</v>
      </c>
      <c r="C16" s="70">
        <f>Q8</f>
        <v>0</v>
      </c>
      <c r="D16" s="71"/>
      <c r="E16" s="71"/>
      <c r="F16" s="71"/>
      <c r="G16" s="71"/>
      <c r="H16" s="71"/>
      <c r="I16" s="71"/>
      <c r="J16" s="22"/>
      <c r="K16" s="22"/>
      <c r="L16" s="22"/>
      <c r="M16" s="22"/>
      <c r="N16" s="88">
        <v>1.58</v>
      </c>
      <c r="O16" s="88"/>
      <c r="P16" s="88"/>
      <c r="Q16" s="24"/>
      <c r="R16" s="24"/>
      <c r="S16" s="14">
        <f t="shared" si="4"/>
        <v>0</v>
      </c>
      <c r="T16" s="22">
        <f t="shared" si="5"/>
        <v>0</v>
      </c>
    </row>
    <row r="17" spans="1:20" x14ac:dyDescent="0.35">
      <c r="A17" s="21"/>
      <c r="B17" s="22" t="s">
        <v>22</v>
      </c>
      <c r="C17" s="70">
        <f>R8</f>
        <v>0</v>
      </c>
      <c r="D17" s="71"/>
      <c r="E17" s="71"/>
      <c r="F17" s="71"/>
      <c r="G17" s="71"/>
      <c r="H17" s="71"/>
      <c r="I17" s="71"/>
      <c r="J17" s="22"/>
      <c r="K17" s="22"/>
      <c r="L17" s="22"/>
      <c r="M17" s="22"/>
      <c r="N17" s="88">
        <v>0.88800000000000001</v>
      </c>
      <c r="O17" s="88"/>
      <c r="P17" s="88"/>
      <c r="Q17" s="24"/>
      <c r="R17" s="24"/>
      <c r="S17" s="14">
        <f t="shared" si="4"/>
        <v>0</v>
      </c>
      <c r="T17" s="14">
        <f t="shared" si="5"/>
        <v>0</v>
      </c>
    </row>
    <row r="18" spans="1:20" x14ac:dyDescent="0.35">
      <c r="A18" s="21"/>
      <c r="B18" s="22" t="s">
        <v>23</v>
      </c>
      <c r="C18" s="70">
        <f>S8</f>
        <v>0</v>
      </c>
      <c r="D18" s="70"/>
      <c r="E18" s="70"/>
      <c r="F18" s="70"/>
      <c r="G18" s="70"/>
      <c r="H18" s="70"/>
      <c r="I18" s="70"/>
      <c r="J18" s="22"/>
      <c r="K18" s="22"/>
      <c r="L18" s="22"/>
      <c r="M18" s="22"/>
      <c r="N18" s="88">
        <v>0.61699999999999999</v>
      </c>
      <c r="O18" s="88"/>
      <c r="P18" s="88"/>
      <c r="Q18" s="24"/>
      <c r="R18" s="24"/>
      <c r="S18" s="14">
        <f t="shared" si="4"/>
        <v>0</v>
      </c>
      <c r="T18" s="14">
        <f t="shared" si="5"/>
        <v>0</v>
      </c>
    </row>
    <row r="19" spans="1:20" x14ac:dyDescent="0.35">
      <c r="A19" s="21"/>
      <c r="B19" s="22" t="s">
        <v>24</v>
      </c>
      <c r="C19" s="73">
        <f>T8</f>
        <v>2809.8</v>
      </c>
      <c r="D19" s="74"/>
      <c r="E19" s="74"/>
      <c r="F19" s="74"/>
      <c r="G19" s="74"/>
      <c r="H19" s="74"/>
      <c r="I19" s="75"/>
      <c r="J19" s="22"/>
      <c r="K19" s="22"/>
      <c r="L19" s="22"/>
      <c r="M19" s="22"/>
      <c r="N19" s="89">
        <v>0.39500000000000002</v>
      </c>
      <c r="O19" s="90"/>
      <c r="P19" s="91"/>
      <c r="Q19" s="24"/>
      <c r="R19" s="24"/>
      <c r="S19" s="14">
        <f t="shared" si="4"/>
        <v>1109.8710000000001</v>
      </c>
      <c r="T19" s="22">
        <f t="shared" si="5"/>
        <v>1.1098710000000001</v>
      </c>
    </row>
    <row r="20" spans="1:20" x14ac:dyDescent="0.35">
      <c r="A20" s="21"/>
      <c r="B20" s="22"/>
      <c r="C20" s="22"/>
      <c r="D20" s="22"/>
      <c r="E20" s="23"/>
      <c r="F20" s="24"/>
      <c r="G20" s="24"/>
      <c r="H20" s="24"/>
      <c r="I20" s="22"/>
      <c r="J20" s="22"/>
      <c r="K20" s="22"/>
      <c r="L20" s="22"/>
      <c r="M20" s="22"/>
      <c r="N20" s="69" t="s">
        <v>73</v>
      </c>
      <c r="O20" s="69"/>
      <c r="P20" s="69"/>
      <c r="Q20" s="69"/>
      <c r="R20" s="25"/>
      <c r="S20" s="25">
        <f>SUM(S14:S19)</f>
        <v>1109.8710000000001</v>
      </c>
      <c r="T20" s="27">
        <f>S20/1000</f>
        <v>1.1098710000000001</v>
      </c>
    </row>
    <row r="21" spans="1:20" x14ac:dyDescent="0.35">
      <c r="A21" s="21"/>
      <c r="B21" s="22"/>
      <c r="C21" s="22"/>
      <c r="D21" s="22"/>
      <c r="E21" s="23"/>
      <c r="F21" s="24"/>
      <c r="G21" s="24"/>
      <c r="H21" s="24"/>
      <c r="I21" s="22"/>
      <c r="J21" s="22"/>
      <c r="K21" s="22"/>
      <c r="L21" s="22"/>
      <c r="M21" s="22"/>
      <c r="N21" s="69" t="s">
        <v>74</v>
      </c>
      <c r="O21" s="69"/>
      <c r="P21" s="69"/>
      <c r="Q21" s="69"/>
      <c r="R21" s="25"/>
      <c r="S21" s="27">
        <f>S20/1000</f>
        <v>1.1098710000000001</v>
      </c>
      <c r="T21" s="26" t="s">
        <v>75</v>
      </c>
    </row>
    <row r="22" spans="1:20" x14ac:dyDescent="0.35">
      <c r="A22" s="29"/>
      <c r="B22" s="30"/>
      <c r="C22" s="30"/>
      <c r="D22" s="30"/>
      <c r="E22" s="31"/>
      <c r="F22" s="32"/>
      <c r="G22" s="32"/>
      <c r="H22" s="32"/>
      <c r="I22" s="30"/>
      <c r="J22" s="30"/>
      <c r="K22" s="30"/>
      <c r="L22" s="30"/>
      <c r="M22" s="30"/>
      <c r="N22" s="33"/>
      <c r="O22" s="33"/>
      <c r="P22" s="33"/>
      <c r="Q22" s="33"/>
      <c r="R22" s="34"/>
      <c r="S22" s="35"/>
      <c r="T22" s="33"/>
    </row>
    <row r="23" spans="1:20" x14ac:dyDescent="0.35">
      <c r="A23" s="29"/>
      <c r="B23" s="30"/>
      <c r="C23" s="30"/>
      <c r="D23" s="30"/>
      <c r="E23" s="31"/>
      <c r="F23" s="32"/>
      <c r="G23" s="32"/>
      <c r="H23" s="32"/>
      <c r="I23" s="30"/>
      <c r="J23" s="30"/>
      <c r="K23" s="30"/>
      <c r="L23" s="30"/>
      <c r="M23" s="30"/>
      <c r="N23" s="33"/>
      <c r="O23" s="33"/>
      <c r="P23" s="33"/>
      <c r="Q23" s="33"/>
      <c r="R23" s="34"/>
      <c r="S23" s="35"/>
      <c r="T23" s="33"/>
    </row>
    <row r="24" spans="1:20" x14ac:dyDescent="0.35">
      <c r="A24" s="29"/>
      <c r="B24" s="30"/>
      <c r="C24" s="30"/>
      <c r="D24" s="30"/>
      <c r="E24" s="31"/>
      <c r="F24" s="32"/>
      <c r="G24" s="32"/>
      <c r="H24" s="32"/>
      <c r="I24" s="30"/>
      <c r="J24" s="30"/>
      <c r="K24" s="30"/>
      <c r="L24" s="30"/>
      <c r="M24" s="30"/>
      <c r="N24" s="33"/>
      <c r="O24" s="33"/>
      <c r="P24" s="33"/>
      <c r="Q24" s="33"/>
      <c r="R24" s="34"/>
      <c r="S24" s="35"/>
      <c r="T24" s="33"/>
    </row>
    <row r="25" spans="1:20" x14ac:dyDescent="0.35">
      <c r="A25" s="29"/>
      <c r="B25" s="30"/>
      <c r="C25" s="30"/>
      <c r="D25" s="30"/>
      <c r="E25" s="31"/>
      <c r="F25" s="32"/>
      <c r="G25" s="32"/>
      <c r="H25" s="32"/>
      <c r="I25" s="30"/>
      <c r="J25" s="30"/>
      <c r="K25" s="30"/>
      <c r="L25" s="30"/>
      <c r="M25" s="30"/>
      <c r="N25" s="33"/>
      <c r="O25" s="33"/>
      <c r="P25" s="33"/>
      <c r="Q25" s="33"/>
      <c r="R25" s="34"/>
      <c r="S25" s="35"/>
      <c r="T25" s="33"/>
    </row>
    <row r="26" spans="1:20" x14ac:dyDescent="0.35">
      <c r="A26" s="29"/>
      <c r="B26" s="30"/>
      <c r="C26" s="30"/>
      <c r="D26" s="30"/>
      <c r="E26" s="31"/>
      <c r="F26" s="32"/>
      <c r="G26" s="32"/>
      <c r="H26" s="32"/>
      <c r="I26" s="30"/>
      <c r="J26" s="30"/>
      <c r="K26" s="30"/>
      <c r="L26" s="30"/>
      <c r="M26" s="30"/>
      <c r="N26" s="33"/>
      <c r="O26" s="33"/>
      <c r="P26" s="33"/>
      <c r="Q26" s="33"/>
      <c r="R26" s="34"/>
      <c r="S26" s="35"/>
      <c r="T26" s="33"/>
    </row>
    <row r="27" spans="1:20" x14ac:dyDescent="0.35">
      <c r="A27" s="29"/>
      <c r="B27" s="30"/>
      <c r="C27" s="30"/>
      <c r="D27" s="30"/>
      <c r="E27" s="31"/>
      <c r="F27" s="32"/>
      <c r="G27" s="32"/>
      <c r="H27" s="32"/>
      <c r="I27" s="30"/>
      <c r="J27" s="30"/>
      <c r="K27" s="30"/>
      <c r="L27" s="30"/>
      <c r="M27" s="30"/>
      <c r="N27" s="33"/>
      <c r="O27" s="33"/>
      <c r="P27" s="33"/>
      <c r="Q27" s="33"/>
      <c r="R27" s="34"/>
      <c r="S27" s="35"/>
      <c r="T27" s="33"/>
    </row>
    <row r="28" spans="1:20" x14ac:dyDescent="0.35">
      <c r="A28" s="29"/>
      <c r="B28" s="30"/>
      <c r="C28" s="30"/>
      <c r="D28" s="30"/>
      <c r="E28" s="31"/>
      <c r="F28" s="32"/>
      <c r="G28" s="32"/>
      <c r="H28" s="32"/>
      <c r="I28" s="30"/>
      <c r="J28" s="30"/>
      <c r="K28" s="30"/>
      <c r="L28" s="30"/>
      <c r="M28" s="30"/>
      <c r="N28" s="33"/>
      <c r="O28" s="33"/>
      <c r="P28" s="33"/>
      <c r="Q28" s="33"/>
      <c r="R28" s="34"/>
      <c r="S28" s="35"/>
      <c r="T28" s="33"/>
    </row>
    <row r="29" spans="1:20" x14ac:dyDescent="0.35">
      <c r="A29" s="29"/>
      <c r="B29" s="30"/>
      <c r="C29" s="30"/>
      <c r="D29" s="30"/>
      <c r="E29" s="31"/>
      <c r="F29" s="32"/>
      <c r="G29" s="32"/>
      <c r="H29" s="32"/>
      <c r="I29" s="30"/>
      <c r="J29" s="30"/>
      <c r="K29" s="30"/>
      <c r="L29" s="30"/>
      <c r="M29" s="30"/>
      <c r="N29" s="33"/>
      <c r="O29" s="33"/>
      <c r="P29" s="33"/>
      <c r="Q29" s="33"/>
      <c r="R29" s="34"/>
      <c r="S29" s="35"/>
      <c r="T29" s="33"/>
    </row>
    <row r="30" spans="1:20" x14ac:dyDescent="0.35">
      <c r="A30" s="29"/>
      <c r="B30" s="30"/>
      <c r="C30" s="30"/>
      <c r="D30" s="30"/>
      <c r="E30" s="31"/>
      <c r="F30" s="32"/>
      <c r="G30" s="32"/>
      <c r="H30" s="32"/>
      <c r="I30" s="30"/>
      <c r="J30" s="30"/>
      <c r="K30" s="30"/>
      <c r="L30" s="30"/>
      <c r="M30" s="30"/>
      <c r="N30" s="33"/>
      <c r="O30" s="33"/>
      <c r="P30" s="33"/>
      <c r="Q30" s="33"/>
      <c r="R30" s="34"/>
      <c r="S30" s="35"/>
      <c r="T30" s="33"/>
    </row>
    <row r="32" spans="1:20" ht="15.5" x14ac:dyDescent="0.35">
      <c r="A32" s="36"/>
      <c r="B32" s="37"/>
      <c r="C32" s="37"/>
      <c r="D32" s="37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</row>
    <row r="33" spans="1:20" ht="15.5" x14ac:dyDescent="0.35">
      <c r="A33" s="36"/>
      <c r="B33" s="37"/>
      <c r="C33" s="37"/>
      <c r="D33" s="37"/>
      <c r="E33" s="39"/>
      <c r="F33" s="39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</row>
    <row r="34" spans="1:20" ht="15" x14ac:dyDescent="0.35">
      <c r="A34" s="39"/>
      <c r="B34" s="38"/>
      <c r="C34" s="38"/>
      <c r="D34" s="39"/>
      <c r="E34" s="39"/>
      <c r="F34" s="39"/>
      <c r="G34" s="40"/>
      <c r="H34" s="39"/>
      <c r="I34" s="39"/>
      <c r="J34" s="39"/>
      <c r="K34" s="39"/>
      <c r="L34" s="39"/>
      <c r="M34" s="41"/>
      <c r="N34" s="41"/>
      <c r="O34" s="40"/>
      <c r="P34" s="40"/>
      <c r="Q34" s="40"/>
      <c r="R34" s="40"/>
      <c r="S34" s="40"/>
      <c r="T34" s="40"/>
    </row>
    <row r="35" spans="1:20" ht="15" x14ac:dyDescent="0.35">
      <c r="A35" s="39"/>
      <c r="B35" s="38"/>
      <c r="C35" s="38"/>
      <c r="D35" s="39"/>
      <c r="E35" s="39"/>
      <c r="F35" s="39"/>
      <c r="G35" s="40"/>
      <c r="H35" s="42"/>
      <c r="I35" s="42"/>
      <c r="J35" s="42"/>
      <c r="K35" s="42"/>
      <c r="L35" s="42"/>
      <c r="M35" s="42"/>
      <c r="N35" s="42"/>
      <c r="O35" s="41"/>
      <c r="P35" s="41"/>
      <c r="Q35" s="41"/>
      <c r="R35" s="41"/>
      <c r="S35" s="41"/>
      <c r="T35" s="43"/>
    </row>
    <row r="36" spans="1:20" x14ac:dyDescent="0.35">
      <c r="A36" s="44"/>
      <c r="B36" s="45"/>
      <c r="C36" s="46"/>
      <c r="D36" s="44"/>
      <c r="E36" s="44"/>
      <c r="F36" s="47"/>
      <c r="G36" s="48"/>
      <c r="H36" s="49"/>
      <c r="I36" s="48"/>
      <c r="J36" s="49"/>
      <c r="K36" s="48"/>
      <c r="L36" s="48"/>
      <c r="M36" s="48"/>
      <c r="N36" s="48"/>
      <c r="O36" s="50"/>
      <c r="P36" s="50"/>
      <c r="Q36" s="50"/>
      <c r="R36" s="50"/>
      <c r="S36" s="50"/>
      <c r="T36" s="50"/>
    </row>
    <row r="37" spans="1:20" x14ac:dyDescent="0.35">
      <c r="A37" s="51"/>
      <c r="B37" s="52"/>
      <c r="C37" s="46"/>
      <c r="D37" s="46"/>
      <c r="E37" s="46"/>
      <c r="F37" s="53"/>
      <c r="G37" s="50"/>
      <c r="H37" s="54"/>
      <c r="I37" s="55"/>
      <c r="J37" s="54"/>
      <c r="K37" s="48"/>
      <c r="L37" s="48"/>
      <c r="M37" s="48"/>
      <c r="N37" s="48"/>
      <c r="O37" s="50"/>
      <c r="P37" s="50"/>
      <c r="Q37" s="50"/>
      <c r="R37" s="50"/>
      <c r="S37" s="50"/>
      <c r="T37" s="50"/>
    </row>
    <row r="38" spans="1:20" x14ac:dyDescent="0.35">
      <c r="A38" s="51"/>
      <c r="B38" s="52"/>
      <c r="C38" s="46"/>
      <c r="D38" s="46"/>
      <c r="E38" s="46"/>
      <c r="F38" s="53"/>
      <c r="G38" s="50"/>
      <c r="H38" s="54"/>
      <c r="I38" s="55"/>
      <c r="J38" s="54"/>
      <c r="K38" s="50"/>
      <c r="L38" s="50"/>
      <c r="M38" s="50"/>
      <c r="N38" s="56"/>
      <c r="O38" s="50"/>
      <c r="P38" s="50"/>
      <c r="Q38" s="50"/>
      <c r="R38" s="50"/>
      <c r="S38" s="50"/>
      <c r="T38" s="50"/>
    </row>
    <row r="39" spans="1:20" ht="15" x14ac:dyDescent="0.35"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8"/>
      <c r="P39" s="58"/>
      <c r="Q39" s="58"/>
      <c r="R39" s="58"/>
      <c r="S39" s="58"/>
      <c r="T39" s="58"/>
    </row>
    <row r="40" spans="1:20" ht="17.5" x14ac:dyDescent="0.35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</row>
    <row r="41" spans="1:20" x14ac:dyDescent="0.35">
      <c r="A41" s="29"/>
      <c r="B41" s="30"/>
      <c r="C41" s="30"/>
      <c r="D41" s="30"/>
      <c r="E41" s="31"/>
      <c r="F41" s="32"/>
      <c r="G41" s="32"/>
      <c r="H41" s="32"/>
      <c r="I41" s="30"/>
      <c r="J41" s="30"/>
      <c r="K41" s="30"/>
      <c r="L41" s="30"/>
      <c r="M41" s="30"/>
      <c r="N41" s="30"/>
      <c r="O41" s="34"/>
      <c r="P41" s="34"/>
      <c r="Q41" s="34"/>
      <c r="R41" s="34"/>
      <c r="S41" s="34"/>
      <c r="T41" s="34"/>
    </row>
    <row r="42" spans="1:20" x14ac:dyDescent="0.35">
      <c r="A42" s="29"/>
      <c r="B42" s="30"/>
      <c r="C42" s="30"/>
      <c r="D42" s="30"/>
      <c r="E42" s="31"/>
      <c r="F42" s="32"/>
      <c r="G42" s="32"/>
      <c r="H42" s="32"/>
      <c r="I42" s="30"/>
      <c r="J42" s="30"/>
      <c r="K42" s="30"/>
      <c r="L42" s="30"/>
      <c r="M42" s="30"/>
      <c r="N42" s="30"/>
      <c r="O42" s="55"/>
      <c r="P42" s="55"/>
      <c r="Q42" s="55"/>
      <c r="R42" s="55"/>
      <c r="S42" s="55"/>
      <c r="T42" s="55"/>
    </row>
    <row r="43" spans="1:20" x14ac:dyDescent="0.35">
      <c r="A43" s="29"/>
      <c r="B43" s="30"/>
      <c r="C43" s="34"/>
      <c r="D43" s="34"/>
      <c r="E43" s="34"/>
      <c r="F43" s="34"/>
      <c r="G43" s="34"/>
      <c r="H43" s="34"/>
      <c r="I43" s="34"/>
      <c r="J43" s="30"/>
      <c r="K43" s="30"/>
      <c r="L43" s="30"/>
      <c r="M43" s="30"/>
      <c r="N43" s="30"/>
      <c r="O43" s="55"/>
      <c r="P43" s="55"/>
      <c r="Q43" s="55"/>
      <c r="R43" s="55"/>
      <c r="S43" s="55"/>
      <c r="T43" s="55"/>
    </row>
    <row r="44" spans="1:20" x14ac:dyDescent="0.35">
      <c r="A44" s="29"/>
      <c r="B44" s="34"/>
      <c r="C44" s="34"/>
      <c r="D44" s="34"/>
      <c r="E44" s="34"/>
      <c r="F44" s="34"/>
      <c r="G44" s="34"/>
      <c r="H44" s="34"/>
      <c r="I44" s="34"/>
      <c r="J44" s="30"/>
      <c r="K44" s="30"/>
      <c r="L44" s="30"/>
      <c r="M44" s="30"/>
      <c r="N44" s="30"/>
      <c r="O44" s="33"/>
      <c r="P44" s="33"/>
      <c r="Q44" s="33"/>
      <c r="R44" s="33"/>
      <c r="S44" s="34"/>
      <c r="T44" s="34"/>
    </row>
    <row r="45" spans="1:20" x14ac:dyDescent="0.35">
      <c r="A45" s="29"/>
      <c r="B45" s="30"/>
      <c r="C45" s="55"/>
      <c r="D45" s="55"/>
      <c r="E45" s="55"/>
      <c r="F45" s="55"/>
      <c r="G45" s="55"/>
      <c r="H45" s="55"/>
      <c r="I45" s="55"/>
      <c r="J45" s="30"/>
      <c r="K45" s="30"/>
      <c r="L45" s="30"/>
      <c r="M45" s="30"/>
      <c r="N45" s="30"/>
      <c r="O45" s="30"/>
      <c r="P45" s="30"/>
      <c r="Q45" s="32"/>
      <c r="R45" s="32"/>
      <c r="S45" s="55"/>
      <c r="T45" s="55"/>
    </row>
    <row r="46" spans="1:20" x14ac:dyDescent="0.35">
      <c r="A46" s="29"/>
      <c r="B46" s="30"/>
      <c r="C46" s="55"/>
      <c r="D46" s="55"/>
      <c r="E46" s="55"/>
      <c r="F46" s="55"/>
      <c r="G46" s="55"/>
      <c r="H46" s="55"/>
      <c r="I46" s="55"/>
      <c r="J46" s="30"/>
      <c r="K46" s="30"/>
      <c r="L46" s="30"/>
      <c r="M46" s="30"/>
      <c r="N46" s="30"/>
      <c r="O46" s="30"/>
      <c r="P46" s="30"/>
      <c r="Q46" s="32"/>
      <c r="R46" s="32"/>
      <c r="S46" s="55"/>
      <c r="T46" s="30"/>
    </row>
    <row r="47" spans="1:20" x14ac:dyDescent="0.35">
      <c r="A47" s="29"/>
      <c r="B47" s="30"/>
      <c r="C47" s="55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2"/>
      <c r="R47" s="32"/>
      <c r="S47" s="55"/>
      <c r="T47" s="30"/>
    </row>
    <row r="48" spans="1:20" x14ac:dyDescent="0.35">
      <c r="A48" s="29"/>
      <c r="B48" s="30"/>
      <c r="C48" s="55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2"/>
      <c r="R48" s="32"/>
      <c r="S48" s="55"/>
      <c r="T48" s="55"/>
    </row>
    <row r="49" spans="1:20" x14ac:dyDescent="0.35">
      <c r="A49" s="29"/>
      <c r="B49" s="30"/>
      <c r="C49" s="55"/>
      <c r="D49" s="55"/>
      <c r="E49" s="55"/>
      <c r="F49" s="55"/>
      <c r="G49" s="55"/>
      <c r="H49" s="55"/>
      <c r="I49" s="55"/>
      <c r="J49" s="30"/>
      <c r="K49" s="30"/>
      <c r="L49" s="30"/>
      <c r="M49" s="30"/>
      <c r="N49" s="30"/>
      <c r="O49" s="30"/>
      <c r="P49" s="30"/>
      <c r="Q49" s="32"/>
      <c r="R49" s="32"/>
      <c r="S49" s="55"/>
      <c r="T49" s="55"/>
    </row>
    <row r="50" spans="1:20" x14ac:dyDescent="0.35">
      <c r="A50" s="29"/>
      <c r="B50" s="30"/>
      <c r="C50" s="55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2"/>
      <c r="R50" s="32"/>
      <c r="S50" s="55"/>
      <c r="T50" s="30"/>
    </row>
    <row r="51" spans="1:20" x14ac:dyDescent="0.35">
      <c r="A51" s="29"/>
      <c r="B51" s="30"/>
      <c r="C51" s="30"/>
      <c r="D51" s="30"/>
      <c r="E51" s="31"/>
      <c r="F51" s="32"/>
      <c r="G51" s="32"/>
      <c r="H51" s="32"/>
      <c r="I51" s="30"/>
      <c r="J51" s="30"/>
      <c r="K51" s="30"/>
      <c r="L51" s="30"/>
      <c r="M51" s="30"/>
      <c r="N51" s="34"/>
      <c r="O51" s="34"/>
      <c r="P51" s="34"/>
      <c r="Q51" s="34"/>
      <c r="R51" s="34"/>
      <c r="S51" s="34"/>
      <c r="T51" s="35"/>
    </row>
    <row r="52" spans="1:20" x14ac:dyDescent="0.35">
      <c r="A52" s="29"/>
      <c r="B52" s="30"/>
      <c r="C52" s="30"/>
      <c r="D52" s="30"/>
      <c r="E52" s="31"/>
      <c r="F52" s="32"/>
      <c r="G52" s="32"/>
      <c r="H52" s="32"/>
      <c r="I52" s="30"/>
      <c r="J52" s="30"/>
      <c r="K52" s="30"/>
      <c r="L52" s="30"/>
      <c r="M52" s="30"/>
      <c r="N52" s="34"/>
      <c r="O52" s="34"/>
      <c r="P52" s="34"/>
      <c r="Q52" s="34"/>
      <c r="R52" s="34"/>
      <c r="S52" s="35"/>
      <c r="T52" s="33"/>
    </row>
  </sheetData>
  <mergeCells count="32">
    <mergeCell ref="N20:Q20"/>
    <mergeCell ref="N21:Q21"/>
    <mergeCell ref="C17:I17"/>
    <mergeCell ref="N17:P17"/>
    <mergeCell ref="C18:I18"/>
    <mergeCell ref="N18:P18"/>
    <mergeCell ref="C19:I19"/>
    <mergeCell ref="N19:P19"/>
    <mergeCell ref="C14:I14"/>
    <mergeCell ref="N14:P14"/>
    <mergeCell ref="C15:I15"/>
    <mergeCell ref="N15:P15"/>
    <mergeCell ref="C16:I16"/>
    <mergeCell ref="N16:P16"/>
    <mergeCell ref="O3:T3"/>
    <mergeCell ref="B8:N8"/>
    <mergeCell ref="A9:T9"/>
    <mergeCell ref="C12:I12"/>
    <mergeCell ref="C13:I13"/>
    <mergeCell ref="S13:T13"/>
    <mergeCell ref="A3:A4"/>
    <mergeCell ref="B3:B4"/>
    <mergeCell ref="C3:C4"/>
    <mergeCell ref="D3:F4"/>
    <mergeCell ref="G3:G4"/>
    <mergeCell ref="H3:L3"/>
    <mergeCell ref="B1:D1"/>
    <mergeCell ref="E1:F1"/>
    <mergeCell ref="G1:T1"/>
    <mergeCell ref="B2:D2"/>
    <mergeCell ref="E2:F2"/>
    <mergeCell ref="G2:T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040A4-1BC8-4D5B-856D-022EE8DCB005}">
  <dimension ref="A1:K19"/>
  <sheetViews>
    <sheetView workbookViewId="0">
      <selection activeCell="I29" sqref="I29"/>
    </sheetView>
  </sheetViews>
  <sheetFormatPr defaultRowHeight="14.5" x14ac:dyDescent="0.35"/>
  <cols>
    <col min="2" max="2" width="16.36328125" bestFit="1" customWidth="1"/>
    <col min="4" max="4" width="9.81640625" customWidth="1"/>
    <col min="7" max="7" width="12.1796875" customWidth="1"/>
  </cols>
  <sheetData>
    <row r="1" spans="1:11" ht="15" x14ac:dyDescent="0.35">
      <c r="A1" s="87" t="s">
        <v>115</v>
      </c>
      <c r="B1" s="87"/>
      <c r="C1" s="87"/>
      <c r="D1" s="87"/>
      <c r="E1" s="87"/>
      <c r="F1" s="87"/>
      <c r="G1" s="87"/>
    </row>
    <row r="2" spans="1:11" ht="30" x14ac:dyDescent="0.35">
      <c r="A2" s="64" t="s">
        <v>98</v>
      </c>
      <c r="B2" s="63" t="s">
        <v>99</v>
      </c>
      <c r="C2" s="64" t="s">
        <v>100</v>
      </c>
      <c r="D2" s="65" t="s">
        <v>116</v>
      </c>
      <c r="E2" s="65" t="s">
        <v>117</v>
      </c>
      <c r="F2" s="65" t="s">
        <v>118</v>
      </c>
      <c r="G2" s="64" t="s">
        <v>119</v>
      </c>
    </row>
    <row r="3" spans="1:11" x14ac:dyDescent="0.35">
      <c r="A3" s="24">
        <v>1</v>
      </c>
      <c r="B3" s="22" t="s">
        <v>101</v>
      </c>
      <c r="C3" s="22">
        <v>1</v>
      </c>
      <c r="D3" s="60">
        <v>25</v>
      </c>
      <c r="E3" s="60">
        <v>10.9</v>
      </c>
      <c r="F3" s="61">
        <v>0.15</v>
      </c>
      <c r="G3" s="61">
        <f>F3*E3*D3*C3</f>
        <v>40.875</v>
      </c>
    </row>
    <row r="4" spans="1:11" x14ac:dyDescent="0.35">
      <c r="A4" s="24">
        <v>2</v>
      </c>
      <c r="B4" s="22" t="s">
        <v>102</v>
      </c>
      <c r="C4" s="22">
        <v>4</v>
      </c>
      <c r="D4" s="60">
        <v>0.9</v>
      </c>
      <c r="E4" s="60">
        <v>0.5</v>
      </c>
      <c r="F4" s="61">
        <v>0.15</v>
      </c>
      <c r="G4" s="61">
        <f>-F4*E4*D4*C4</f>
        <v>-0.27</v>
      </c>
      <c r="H4" s="30"/>
      <c r="I4" s="30"/>
      <c r="J4" s="30"/>
      <c r="K4" s="30"/>
    </row>
    <row r="5" spans="1:11" x14ac:dyDescent="0.35">
      <c r="A5" s="24">
        <v>3</v>
      </c>
      <c r="B5" s="22" t="s">
        <v>103</v>
      </c>
      <c r="C5" s="22">
        <v>2</v>
      </c>
      <c r="D5" s="60">
        <v>0.55000000000000004</v>
      </c>
      <c r="E5" s="60">
        <v>0.55000000000000004</v>
      </c>
      <c r="F5" s="61">
        <v>0.15</v>
      </c>
      <c r="G5" s="61">
        <f t="shared" ref="G5:G15" si="0">-F5*E5*D5*C5</f>
        <v>-9.0750000000000011E-2</v>
      </c>
      <c r="H5" s="30"/>
      <c r="I5" s="30"/>
      <c r="J5" s="30"/>
      <c r="K5" s="30"/>
    </row>
    <row r="6" spans="1:11" x14ac:dyDescent="0.35">
      <c r="A6" s="24">
        <v>4</v>
      </c>
      <c r="B6" s="22" t="s">
        <v>104</v>
      </c>
      <c r="C6" s="22">
        <v>2</v>
      </c>
      <c r="D6" s="60">
        <v>0.65</v>
      </c>
      <c r="E6" s="60">
        <v>0.65</v>
      </c>
      <c r="F6" s="61">
        <v>0.15</v>
      </c>
      <c r="G6" s="61">
        <f t="shared" si="0"/>
        <v>-0.12675</v>
      </c>
      <c r="H6" s="30"/>
      <c r="I6" s="30"/>
      <c r="J6" s="30"/>
      <c r="K6" s="30"/>
    </row>
    <row r="7" spans="1:11" x14ac:dyDescent="0.35">
      <c r="A7" s="24">
        <v>5</v>
      </c>
      <c r="B7" s="22" t="s">
        <v>105</v>
      </c>
      <c r="C7" s="22">
        <v>2</v>
      </c>
      <c r="D7" s="60">
        <v>0.8</v>
      </c>
      <c r="E7" s="60">
        <v>0.8</v>
      </c>
      <c r="F7" s="61">
        <v>0.15</v>
      </c>
      <c r="G7" s="61">
        <f t="shared" si="0"/>
        <v>-0.192</v>
      </c>
      <c r="H7" s="30"/>
      <c r="I7" s="30"/>
      <c r="J7" s="30"/>
      <c r="K7" s="30"/>
    </row>
    <row r="8" spans="1:11" x14ac:dyDescent="0.35">
      <c r="A8" s="24">
        <v>6</v>
      </c>
      <c r="B8" s="22" t="s">
        <v>106</v>
      </c>
      <c r="C8" s="22">
        <v>2</v>
      </c>
      <c r="D8" s="61">
        <v>0.8</v>
      </c>
      <c r="E8" s="60">
        <v>0.8</v>
      </c>
      <c r="F8" s="61">
        <v>0.15</v>
      </c>
      <c r="G8" s="61">
        <f t="shared" si="0"/>
        <v>-0.192</v>
      </c>
      <c r="H8" s="30"/>
      <c r="I8" s="30"/>
      <c r="J8" s="30"/>
      <c r="K8" s="30"/>
    </row>
    <row r="9" spans="1:11" x14ac:dyDescent="0.35">
      <c r="A9" s="24">
        <v>7</v>
      </c>
      <c r="B9" s="22" t="s">
        <v>107</v>
      </c>
      <c r="C9" s="22">
        <v>2</v>
      </c>
      <c r="D9" s="60">
        <v>0.55000000000000004</v>
      </c>
      <c r="E9" s="60">
        <v>0.55000000000000004</v>
      </c>
      <c r="F9" s="61">
        <v>0.15</v>
      </c>
      <c r="G9" s="61">
        <f t="shared" si="0"/>
        <v>-9.0750000000000011E-2</v>
      </c>
      <c r="H9" s="30"/>
      <c r="I9" s="30"/>
      <c r="J9" s="30"/>
      <c r="K9" s="30"/>
    </row>
    <row r="10" spans="1:11" x14ac:dyDescent="0.35">
      <c r="A10" s="24">
        <v>8</v>
      </c>
      <c r="B10" s="22" t="s">
        <v>108</v>
      </c>
      <c r="C10" s="22">
        <v>5</v>
      </c>
      <c r="D10" s="62">
        <v>1</v>
      </c>
      <c r="E10" s="62">
        <v>0.6</v>
      </c>
      <c r="F10" s="61">
        <v>0.15</v>
      </c>
      <c r="G10" s="61">
        <f t="shared" si="0"/>
        <v>-0.44999999999999996</v>
      </c>
      <c r="H10" s="30"/>
      <c r="I10" s="30"/>
      <c r="J10" s="30"/>
      <c r="K10" s="30"/>
    </row>
    <row r="11" spans="1:11" x14ac:dyDescent="0.35">
      <c r="A11" s="24">
        <v>9</v>
      </c>
      <c r="B11" s="22" t="s">
        <v>109</v>
      </c>
      <c r="C11" s="22">
        <v>1</v>
      </c>
      <c r="D11" s="62">
        <v>0.45</v>
      </c>
      <c r="E11" s="62">
        <v>0.45</v>
      </c>
      <c r="F11" s="61">
        <v>0.15</v>
      </c>
      <c r="G11" s="61">
        <f t="shared" si="0"/>
        <v>-3.0375000000000003E-2</v>
      </c>
      <c r="H11" s="30"/>
      <c r="I11" s="30"/>
      <c r="J11" s="30"/>
      <c r="K11" s="30"/>
    </row>
    <row r="12" spans="1:11" x14ac:dyDescent="0.35">
      <c r="A12" s="24">
        <v>10</v>
      </c>
      <c r="B12" s="22" t="s">
        <v>110</v>
      </c>
      <c r="C12" s="22">
        <v>1</v>
      </c>
      <c r="D12" s="62">
        <v>0.6</v>
      </c>
      <c r="E12" s="62">
        <v>1.0249999999999999</v>
      </c>
      <c r="F12" s="61">
        <v>0.15</v>
      </c>
      <c r="G12" s="61">
        <f t="shared" si="0"/>
        <v>-9.2249999999999985E-2</v>
      </c>
      <c r="H12" s="30"/>
      <c r="I12" s="30"/>
      <c r="J12" s="30"/>
      <c r="K12" s="30"/>
    </row>
    <row r="13" spans="1:11" x14ac:dyDescent="0.35">
      <c r="A13" s="24">
        <v>11</v>
      </c>
      <c r="B13" s="22" t="s">
        <v>111</v>
      </c>
      <c r="C13" s="22">
        <v>1</v>
      </c>
      <c r="D13" s="62">
        <v>0.45</v>
      </c>
      <c r="E13" s="62">
        <v>0.45</v>
      </c>
      <c r="F13" s="61">
        <v>0.15</v>
      </c>
      <c r="G13" s="61">
        <f t="shared" si="0"/>
        <v>-3.0375000000000003E-2</v>
      </c>
      <c r="H13" s="30"/>
      <c r="I13" s="30"/>
      <c r="J13" s="30"/>
      <c r="K13" s="30"/>
    </row>
    <row r="14" spans="1:11" x14ac:dyDescent="0.35">
      <c r="A14" s="24">
        <v>12</v>
      </c>
      <c r="B14" s="22" t="s">
        <v>112</v>
      </c>
      <c r="C14" s="22">
        <v>2</v>
      </c>
      <c r="D14" s="62">
        <v>0.6</v>
      </c>
      <c r="E14" s="62">
        <v>0.6</v>
      </c>
      <c r="F14" s="61">
        <v>0.15</v>
      </c>
      <c r="G14" s="61">
        <f t="shared" si="0"/>
        <v>-0.108</v>
      </c>
      <c r="H14" s="30"/>
      <c r="I14" s="30"/>
      <c r="J14" s="30"/>
      <c r="K14" s="30"/>
    </row>
    <row r="15" spans="1:11" x14ac:dyDescent="0.35">
      <c r="A15" s="24">
        <v>13</v>
      </c>
      <c r="B15" s="22" t="s">
        <v>113</v>
      </c>
      <c r="C15" s="22">
        <v>1</v>
      </c>
      <c r="D15" s="62">
        <v>0.45</v>
      </c>
      <c r="E15" s="62">
        <v>0.45</v>
      </c>
      <c r="F15" s="61">
        <v>0.15</v>
      </c>
      <c r="G15" s="61">
        <f t="shared" si="0"/>
        <v>-3.0375000000000003E-2</v>
      </c>
      <c r="H15" s="30"/>
      <c r="I15" s="30"/>
      <c r="J15" s="30"/>
      <c r="K15" s="30"/>
    </row>
    <row r="16" spans="1:11" x14ac:dyDescent="0.35">
      <c r="A16" s="22"/>
      <c r="B16" s="69" t="s">
        <v>121</v>
      </c>
      <c r="C16" s="69"/>
      <c r="D16" s="69"/>
      <c r="E16" s="69"/>
      <c r="F16" s="69"/>
      <c r="G16" s="66">
        <f>SUM(G3:G15)</f>
        <v>39.171374999999998</v>
      </c>
      <c r="H16" s="30"/>
      <c r="I16" s="30"/>
      <c r="J16" s="30"/>
      <c r="K16" s="30"/>
    </row>
    <row r="17" spans="1:11" x14ac:dyDescent="0.35">
      <c r="A17" s="22"/>
      <c r="B17" s="69" t="s">
        <v>120</v>
      </c>
      <c r="C17" s="69"/>
      <c r="D17" s="69"/>
      <c r="E17" s="69"/>
      <c r="F17" s="69"/>
      <c r="G17" s="67">
        <f>G16*10%</f>
        <v>3.9171374999999999</v>
      </c>
      <c r="H17" s="30"/>
      <c r="I17" s="30"/>
      <c r="J17" s="30"/>
      <c r="K17" s="30"/>
    </row>
    <row r="18" spans="1:11" x14ac:dyDescent="0.35">
      <c r="A18" s="22"/>
      <c r="B18" s="69" t="s">
        <v>114</v>
      </c>
      <c r="C18" s="69"/>
      <c r="D18" s="69"/>
      <c r="E18" s="69"/>
      <c r="F18" s="69"/>
      <c r="G18" s="66">
        <f>G16+G17</f>
        <v>43.0885125</v>
      </c>
      <c r="H18" s="30"/>
      <c r="I18" s="30"/>
      <c r="J18" s="30"/>
      <c r="K18" s="30"/>
    </row>
    <row r="19" spans="1:11" x14ac:dyDescent="0.35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</row>
  </sheetData>
  <mergeCells count="4">
    <mergeCell ref="A1:G1"/>
    <mergeCell ref="B16:F16"/>
    <mergeCell ref="B17:F17"/>
    <mergeCell ref="B18:F1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961A1-6BB8-4C6E-B760-1E031460EAFC}">
  <dimension ref="A1:G18"/>
  <sheetViews>
    <sheetView workbookViewId="0">
      <selection activeCell="H29" sqref="H29"/>
    </sheetView>
  </sheetViews>
  <sheetFormatPr defaultRowHeight="14.5" x14ac:dyDescent="0.35"/>
  <cols>
    <col min="2" max="2" width="16.36328125" bestFit="1" customWidth="1"/>
    <col min="4" max="4" width="10.453125" customWidth="1"/>
    <col min="7" max="7" width="13.26953125" customWidth="1"/>
  </cols>
  <sheetData>
    <row r="1" spans="1:7" ht="15" x14ac:dyDescent="0.35">
      <c r="A1" s="87" t="s">
        <v>115</v>
      </c>
      <c r="B1" s="87"/>
      <c r="C1" s="87"/>
      <c r="D1" s="87"/>
      <c r="E1" s="87"/>
      <c r="F1" s="87"/>
      <c r="G1" s="87"/>
    </row>
    <row r="2" spans="1:7" ht="30" x14ac:dyDescent="0.35">
      <c r="A2" s="64" t="s">
        <v>98</v>
      </c>
      <c r="B2" s="63" t="s">
        <v>99</v>
      </c>
      <c r="C2" s="64" t="s">
        <v>100</v>
      </c>
      <c r="D2" s="65" t="s">
        <v>116</v>
      </c>
      <c r="E2" s="65" t="s">
        <v>117</v>
      </c>
      <c r="F2" s="65" t="s">
        <v>118</v>
      </c>
      <c r="G2" s="64" t="s">
        <v>119</v>
      </c>
    </row>
    <row r="3" spans="1:7" x14ac:dyDescent="0.35">
      <c r="A3" s="24">
        <v>1</v>
      </c>
      <c r="B3" s="22" t="s">
        <v>101</v>
      </c>
      <c r="C3" s="22">
        <v>1</v>
      </c>
      <c r="D3" s="60">
        <v>25</v>
      </c>
      <c r="E3" s="60">
        <v>10.9</v>
      </c>
      <c r="F3" s="61">
        <v>0.1</v>
      </c>
      <c r="G3" s="61">
        <f>F3*E3*D3*C3</f>
        <v>27.250000000000004</v>
      </c>
    </row>
    <row r="4" spans="1:7" x14ac:dyDescent="0.35">
      <c r="A4" s="24">
        <v>2</v>
      </c>
      <c r="B4" s="22" t="s">
        <v>102</v>
      </c>
      <c r="C4" s="22">
        <v>4</v>
      </c>
      <c r="D4" s="60">
        <v>0.9</v>
      </c>
      <c r="E4" s="60">
        <v>0.5</v>
      </c>
      <c r="F4" s="61">
        <v>0.1</v>
      </c>
      <c r="G4" s="61">
        <f>-F4*E4*D4*C4</f>
        <v>-0.18000000000000002</v>
      </c>
    </row>
    <row r="5" spans="1:7" x14ac:dyDescent="0.35">
      <c r="A5" s="24">
        <v>3</v>
      </c>
      <c r="B5" s="22" t="s">
        <v>103</v>
      </c>
      <c r="C5" s="22">
        <v>2</v>
      </c>
      <c r="D5" s="60">
        <v>0.55000000000000004</v>
      </c>
      <c r="E5" s="60">
        <v>0.55000000000000004</v>
      </c>
      <c r="F5" s="61">
        <v>0.1</v>
      </c>
      <c r="G5" s="61">
        <f t="shared" ref="G5:G15" si="0">-F5*E5*D5*C5</f>
        <v>-6.0500000000000012E-2</v>
      </c>
    </row>
    <row r="6" spans="1:7" x14ac:dyDescent="0.35">
      <c r="A6" s="24">
        <v>4</v>
      </c>
      <c r="B6" s="22" t="s">
        <v>104</v>
      </c>
      <c r="C6" s="22">
        <v>2</v>
      </c>
      <c r="D6" s="60">
        <v>0.65</v>
      </c>
      <c r="E6" s="60">
        <v>0.65</v>
      </c>
      <c r="F6" s="61">
        <v>0.1</v>
      </c>
      <c r="G6" s="61">
        <f t="shared" si="0"/>
        <v>-8.4500000000000006E-2</v>
      </c>
    </row>
    <row r="7" spans="1:7" x14ac:dyDescent="0.35">
      <c r="A7" s="24">
        <v>5</v>
      </c>
      <c r="B7" s="22" t="s">
        <v>105</v>
      </c>
      <c r="C7" s="22">
        <v>2</v>
      </c>
      <c r="D7" s="60">
        <v>0.8</v>
      </c>
      <c r="E7" s="60">
        <v>0.8</v>
      </c>
      <c r="F7" s="61">
        <v>0.1</v>
      </c>
      <c r="G7" s="61">
        <f t="shared" si="0"/>
        <v>-0.12800000000000003</v>
      </c>
    </row>
    <row r="8" spans="1:7" x14ac:dyDescent="0.35">
      <c r="A8" s="24">
        <v>6</v>
      </c>
      <c r="B8" s="22" t="s">
        <v>106</v>
      </c>
      <c r="C8" s="22">
        <v>2</v>
      </c>
      <c r="D8" s="61">
        <v>0.8</v>
      </c>
      <c r="E8" s="60">
        <v>0.8</v>
      </c>
      <c r="F8" s="61">
        <v>0.1</v>
      </c>
      <c r="G8" s="61">
        <f t="shared" si="0"/>
        <v>-0.12800000000000003</v>
      </c>
    </row>
    <row r="9" spans="1:7" x14ac:dyDescent="0.35">
      <c r="A9" s="24">
        <v>7</v>
      </c>
      <c r="B9" s="22" t="s">
        <v>107</v>
      </c>
      <c r="C9" s="22">
        <v>2</v>
      </c>
      <c r="D9" s="60">
        <v>0.55000000000000004</v>
      </c>
      <c r="E9" s="60">
        <v>0.55000000000000004</v>
      </c>
      <c r="F9" s="61">
        <v>0.1</v>
      </c>
      <c r="G9" s="61">
        <f t="shared" si="0"/>
        <v>-6.0500000000000012E-2</v>
      </c>
    </row>
    <row r="10" spans="1:7" x14ac:dyDescent="0.35">
      <c r="A10" s="24">
        <v>8</v>
      </c>
      <c r="B10" s="22" t="s">
        <v>108</v>
      </c>
      <c r="C10" s="22">
        <v>5</v>
      </c>
      <c r="D10" s="62">
        <v>1</v>
      </c>
      <c r="E10" s="62">
        <v>0.6</v>
      </c>
      <c r="F10" s="61">
        <v>0.1</v>
      </c>
      <c r="G10" s="61">
        <f t="shared" si="0"/>
        <v>-0.3</v>
      </c>
    </row>
    <row r="11" spans="1:7" x14ac:dyDescent="0.35">
      <c r="A11" s="24">
        <v>9</v>
      </c>
      <c r="B11" s="22" t="s">
        <v>109</v>
      </c>
      <c r="C11" s="22">
        <v>1</v>
      </c>
      <c r="D11" s="62">
        <v>0.45</v>
      </c>
      <c r="E11" s="62">
        <v>0.45</v>
      </c>
      <c r="F11" s="61">
        <v>0.1</v>
      </c>
      <c r="G11" s="61">
        <f t="shared" si="0"/>
        <v>-2.0250000000000004E-2</v>
      </c>
    </row>
    <row r="12" spans="1:7" x14ac:dyDescent="0.35">
      <c r="A12" s="24">
        <v>10</v>
      </c>
      <c r="B12" s="22" t="s">
        <v>110</v>
      </c>
      <c r="C12" s="22">
        <v>1</v>
      </c>
      <c r="D12" s="62">
        <v>0.6</v>
      </c>
      <c r="E12" s="62">
        <v>1.0249999999999999</v>
      </c>
      <c r="F12" s="61">
        <v>0.1</v>
      </c>
      <c r="G12" s="61">
        <f t="shared" si="0"/>
        <v>-6.1499999999999992E-2</v>
      </c>
    </row>
    <row r="13" spans="1:7" x14ac:dyDescent="0.35">
      <c r="A13" s="24">
        <v>11</v>
      </c>
      <c r="B13" s="22" t="s">
        <v>111</v>
      </c>
      <c r="C13" s="22">
        <v>1</v>
      </c>
      <c r="D13" s="62">
        <v>0.45</v>
      </c>
      <c r="E13" s="62">
        <v>0.45</v>
      </c>
      <c r="F13" s="61">
        <v>0.1</v>
      </c>
      <c r="G13" s="61">
        <f t="shared" si="0"/>
        <v>-2.0250000000000004E-2</v>
      </c>
    </row>
    <row r="14" spans="1:7" x14ac:dyDescent="0.35">
      <c r="A14" s="24">
        <v>12</v>
      </c>
      <c r="B14" s="22" t="s">
        <v>112</v>
      </c>
      <c r="C14" s="22">
        <v>2</v>
      </c>
      <c r="D14" s="62">
        <v>0.6</v>
      </c>
      <c r="E14" s="62">
        <v>0.6</v>
      </c>
      <c r="F14" s="61">
        <v>0.1</v>
      </c>
      <c r="G14" s="61">
        <f t="shared" si="0"/>
        <v>-7.1999999999999995E-2</v>
      </c>
    </row>
    <row r="15" spans="1:7" x14ac:dyDescent="0.35">
      <c r="A15" s="24">
        <v>13</v>
      </c>
      <c r="B15" s="22" t="s">
        <v>113</v>
      </c>
      <c r="C15" s="22">
        <v>1</v>
      </c>
      <c r="D15" s="62">
        <v>0.45</v>
      </c>
      <c r="E15" s="62">
        <v>0.45</v>
      </c>
      <c r="F15" s="61">
        <v>0.1</v>
      </c>
      <c r="G15" s="61">
        <f t="shared" si="0"/>
        <v>-2.0250000000000004E-2</v>
      </c>
    </row>
    <row r="16" spans="1:7" x14ac:dyDescent="0.35">
      <c r="A16" s="22"/>
      <c r="B16" s="92" t="s">
        <v>121</v>
      </c>
      <c r="C16" s="93"/>
      <c r="D16" s="93"/>
      <c r="E16" s="93"/>
      <c r="F16" s="94"/>
      <c r="G16" s="66">
        <f>SUM(G3:G15)</f>
        <v>26.114250000000002</v>
      </c>
    </row>
    <row r="17" spans="1:7" x14ac:dyDescent="0.35">
      <c r="A17" s="22"/>
      <c r="B17" s="69" t="s">
        <v>120</v>
      </c>
      <c r="C17" s="69"/>
      <c r="D17" s="69"/>
      <c r="E17" s="69"/>
      <c r="F17" s="69"/>
      <c r="G17" s="68">
        <f>G16*10%</f>
        <v>2.6114250000000006</v>
      </c>
    </row>
    <row r="18" spans="1:7" x14ac:dyDescent="0.35">
      <c r="A18" s="22"/>
      <c r="B18" s="69" t="s">
        <v>114</v>
      </c>
      <c r="C18" s="69"/>
      <c r="D18" s="69"/>
      <c r="E18" s="69"/>
      <c r="F18" s="69"/>
      <c r="G18" s="66">
        <f>G16+G17</f>
        <v>28.725675000000003</v>
      </c>
    </row>
  </sheetData>
  <mergeCells count="4">
    <mergeCell ref="A1:G1"/>
    <mergeCell ref="B16:F16"/>
    <mergeCell ref="B17:F17"/>
    <mergeCell ref="B18:F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Floor slab and beams</vt:lpstr>
      <vt:lpstr>Slab RCC</vt:lpstr>
      <vt:lpstr>Grade slab 8mm</vt:lpstr>
      <vt:lpstr>Grade Slab RCC</vt:lpstr>
      <vt:lpstr>Grade slab PCC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recomaxgoa24@gmail.com</cp:lastModifiedBy>
  <dcterms:created xsi:type="dcterms:W3CDTF">2015-06-05T18:17:20Z</dcterms:created>
  <dcterms:modified xsi:type="dcterms:W3CDTF">2026-02-03T06:38:42Z</dcterms:modified>
</cp:coreProperties>
</file>