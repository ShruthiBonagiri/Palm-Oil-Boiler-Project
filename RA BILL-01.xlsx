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user\Desktop\Files - Copy\GODREJ\Quantity\"/>
    </mc:Choice>
  </mc:AlternateContent>
  <xr:revisionPtr revIDLastSave="0" documentId="13_ncr:1_{1CBE1BD9-9E73-464B-A4D0-802C30B5651E}" xr6:coauthVersionLast="47" xr6:coauthVersionMax="47" xr10:uidLastSave="{00000000-0000-0000-0000-000000000000}"/>
  <bookViews>
    <workbookView xWindow="-110" yWindow="-110" windowWidth="22780" windowHeight="14540" activeTab="4" xr2:uid="{AED0045E-93D7-41DA-9DDF-55F09BFE3F07}"/>
  </bookViews>
  <sheets>
    <sheet name="Abstract" sheetId="5" r:id="rId1"/>
    <sheet name="Excavation" sheetId="1" r:id="rId2"/>
    <sheet name="Pcc &amp; Rcc" sheetId="2" r:id="rId3"/>
    <sheet name="Shuttering" sheetId="3" r:id="rId4"/>
    <sheet name="Steel" sheetId="6" r:id="rId5"/>
  </sheets>
  <externalReferences>
    <externalReference r:id="rId6"/>
  </externalReferences>
  <definedNames>
    <definedName name="_xlnm.Print_Area" localSheetId="0">Abstract!$A$1:$H$198</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25" i="5" l="1"/>
  <c r="G22" i="5"/>
  <c r="G10" i="5"/>
  <c r="G9" i="5"/>
  <c r="G63" i="5"/>
  <c r="M266" i="6"/>
  <c r="L265" i="6"/>
  <c r="I265" i="6"/>
  <c r="K265" i="6" s="1"/>
  <c r="M265" i="6" s="1"/>
  <c r="L264" i="6"/>
  <c r="K264" i="6"/>
  <c r="M264" i="6" s="1"/>
  <c r="L263" i="6"/>
  <c r="I263" i="6"/>
  <c r="K263" i="6" s="1"/>
  <c r="M263" i="6" s="1"/>
  <c r="L262" i="6"/>
  <c r="M262" i="6" s="1"/>
  <c r="K262" i="6"/>
  <c r="L260" i="6"/>
  <c r="I260" i="6"/>
  <c r="K260" i="6" s="1"/>
  <c r="M260" i="6" s="1"/>
  <c r="L259" i="6"/>
  <c r="I259" i="6"/>
  <c r="K259" i="6" s="1"/>
  <c r="M259" i="6" s="1"/>
  <c r="L258" i="6"/>
  <c r="I258" i="6"/>
  <c r="K258" i="6" s="1"/>
  <c r="M258" i="6" s="1"/>
  <c r="L257" i="6"/>
  <c r="K257" i="6"/>
  <c r="M257" i="6" s="1"/>
  <c r="M256" i="6"/>
  <c r="L256" i="6"/>
  <c r="K256" i="6"/>
  <c r="L255" i="6"/>
  <c r="K255" i="6"/>
  <c r="M255" i="6" s="1"/>
  <c r="L254" i="6"/>
  <c r="K254" i="6"/>
  <c r="M254" i="6" s="1"/>
  <c r="L252" i="6"/>
  <c r="I252" i="6"/>
  <c r="K252" i="6" s="1"/>
  <c r="M252" i="6" s="1"/>
  <c r="L251" i="6"/>
  <c r="I251" i="6"/>
  <c r="K251" i="6" s="1"/>
  <c r="M251" i="6" s="1"/>
  <c r="L250" i="6"/>
  <c r="I250" i="6"/>
  <c r="K250" i="6" s="1"/>
  <c r="M250" i="6" s="1"/>
  <c r="L249" i="6"/>
  <c r="I249" i="6"/>
  <c r="K249" i="6" s="1"/>
  <c r="M249" i="6" s="1"/>
  <c r="L248" i="6"/>
  <c r="M248" i="6" s="1"/>
  <c r="K248" i="6"/>
  <c r="M247" i="6"/>
  <c r="L247" i="6"/>
  <c r="K247" i="6"/>
  <c r="L246" i="6"/>
  <c r="K246" i="6"/>
  <c r="M246" i="6" s="1"/>
  <c r="L245" i="6"/>
  <c r="K245" i="6"/>
  <c r="M245" i="6" s="1"/>
  <c r="L244" i="6"/>
  <c r="M244" i="6" s="1"/>
  <c r="K244" i="6"/>
  <c r="L242" i="6"/>
  <c r="I242" i="6"/>
  <c r="K242" i="6" s="1"/>
  <c r="M242" i="6" s="1"/>
  <c r="M241" i="6"/>
  <c r="L241" i="6"/>
  <c r="K241" i="6"/>
  <c r="I241" i="6"/>
  <c r="M240" i="6"/>
  <c r="L240" i="6"/>
  <c r="K240" i="6"/>
  <c r="I240" i="6"/>
  <c r="M239" i="6"/>
  <c r="L239" i="6"/>
  <c r="K239" i="6"/>
  <c r="L238" i="6"/>
  <c r="M238" i="6" s="1"/>
  <c r="K238" i="6"/>
  <c r="L237" i="6"/>
  <c r="K237" i="6"/>
  <c r="M237" i="6" s="1"/>
  <c r="L236" i="6"/>
  <c r="K236" i="6"/>
  <c r="M236" i="6" s="1"/>
  <c r="L234" i="6"/>
  <c r="I234" i="6"/>
  <c r="K234" i="6" s="1"/>
  <c r="M234" i="6" s="1"/>
  <c r="M233" i="6"/>
  <c r="L233" i="6"/>
  <c r="K233" i="6"/>
  <c r="I233" i="6"/>
  <c r="L232" i="6"/>
  <c r="I232" i="6"/>
  <c r="K232" i="6" s="1"/>
  <c r="M232" i="6" s="1"/>
  <c r="M231" i="6"/>
  <c r="L231" i="6"/>
  <c r="K231" i="6"/>
  <c r="L230" i="6"/>
  <c r="M230" i="6" s="1"/>
  <c r="K230" i="6"/>
  <c r="L229" i="6"/>
  <c r="K229" i="6"/>
  <c r="M229" i="6" s="1"/>
  <c r="L228" i="6"/>
  <c r="K228" i="6"/>
  <c r="M228" i="6" s="1"/>
  <c r="L226" i="6"/>
  <c r="I226" i="6"/>
  <c r="K226" i="6" s="1"/>
  <c r="M226" i="6" s="1"/>
  <c r="M225" i="6"/>
  <c r="L225" i="6"/>
  <c r="K225" i="6"/>
  <c r="I225" i="6"/>
  <c r="L224" i="6"/>
  <c r="I224" i="6"/>
  <c r="K224" i="6" s="1"/>
  <c r="M224" i="6" s="1"/>
  <c r="M223" i="6"/>
  <c r="L223" i="6"/>
  <c r="K223" i="6"/>
  <c r="L222" i="6"/>
  <c r="M222" i="6" s="1"/>
  <c r="K222" i="6"/>
  <c r="L221" i="6"/>
  <c r="K221" i="6"/>
  <c r="M221" i="6" s="1"/>
  <c r="L220" i="6"/>
  <c r="K220" i="6"/>
  <c r="M220" i="6" s="1"/>
  <c r="L218" i="6"/>
  <c r="I218" i="6"/>
  <c r="K218" i="6" s="1"/>
  <c r="M218" i="6" s="1"/>
  <c r="M217" i="6"/>
  <c r="L217" i="6"/>
  <c r="K217" i="6"/>
  <c r="I217" i="6"/>
  <c r="L216" i="6"/>
  <c r="I216" i="6"/>
  <c r="K216" i="6" s="1"/>
  <c r="M216" i="6" s="1"/>
  <c r="M215" i="6"/>
  <c r="L215" i="6"/>
  <c r="K215" i="6"/>
  <c r="L214" i="6"/>
  <c r="M214" i="6" s="1"/>
  <c r="K214" i="6"/>
  <c r="L213" i="6"/>
  <c r="K213" i="6"/>
  <c r="M213" i="6" s="1"/>
  <c r="L212" i="6"/>
  <c r="K212" i="6"/>
  <c r="M212" i="6" s="1"/>
  <c r="L210" i="6"/>
  <c r="I210" i="6"/>
  <c r="K210" i="6" s="1"/>
  <c r="M210" i="6" s="1"/>
  <c r="M209" i="6"/>
  <c r="L209" i="6"/>
  <c r="K209" i="6"/>
  <c r="I209" i="6"/>
  <c r="L208" i="6"/>
  <c r="I208" i="6"/>
  <c r="K208" i="6" s="1"/>
  <c r="M208" i="6" s="1"/>
  <c r="L207" i="6"/>
  <c r="I207" i="6"/>
  <c r="K207" i="6" s="1"/>
  <c r="M207" i="6" s="1"/>
  <c r="M206" i="6"/>
  <c r="L206" i="6"/>
  <c r="K206" i="6"/>
  <c r="I206" i="6"/>
  <c r="L205" i="6"/>
  <c r="I205" i="6"/>
  <c r="K205" i="6" s="1"/>
  <c r="M205" i="6" s="1"/>
  <c r="L204" i="6"/>
  <c r="I204" i="6"/>
  <c r="K204" i="6" s="1"/>
  <c r="M204" i="6" s="1"/>
  <c r="M203" i="6"/>
  <c r="L203" i="6"/>
  <c r="K203" i="6"/>
  <c r="I203" i="6"/>
  <c r="L202" i="6"/>
  <c r="I202" i="6"/>
  <c r="K202" i="6" s="1"/>
  <c r="M202" i="6" s="1"/>
  <c r="L201" i="6"/>
  <c r="I201" i="6"/>
  <c r="K201" i="6" s="1"/>
  <c r="M201" i="6" s="1"/>
  <c r="M200" i="6"/>
  <c r="L200" i="6"/>
  <c r="K200" i="6"/>
  <c r="I200" i="6"/>
  <c r="L199" i="6"/>
  <c r="I199" i="6"/>
  <c r="K199" i="6" s="1"/>
  <c r="M199" i="6" s="1"/>
  <c r="L198" i="6"/>
  <c r="I198" i="6"/>
  <c r="K198" i="6" s="1"/>
  <c r="M198" i="6" s="1"/>
  <c r="M197" i="6"/>
  <c r="L197" i="6"/>
  <c r="K197" i="6"/>
  <c r="I197" i="6"/>
  <c r="L196" i="6"/>
  <c r="I196" i="6"/>
  <c r="K196" i="6" s="1"/>
  <c r="M196" i="6" s="1"/>
  <c r="M195" i="6"/>
  <c r="L195" i="6"/>
  <c r="K195" i="6"/>
  <c r="L194" i="6"/>
  <c r="M194" i="6" s="1"/>
  <c r="K194" i="6"/>
  <c r="M193" i="6"/>
  <c r="L193" i="6"/>
  <c r="K193" i="6"/>
  <c r="L192" i="6"/>
  <c r="K192" i="6"/>
  <c r="M192" i="6" s="1"/>
  <c r="L190" i="6"/>
  <c r="I190" i="6"/>
  <c r="K190" i="6" s="1"/>
  <c r="M190" i="6" s="1"/>
  <c r="M189" i="6"/>
  <c r="L189" i="6"/>
  <c r="K189" i="6"/>
  <c r="I189" i="6"/>
  <c r="L188" i="6"/>
  <c r="I188" i="6"/>
  <c r="K188" i="6" s="1"/>
  <c r="M188" i="6" s="1"/>
  <c r="L187" i="6"/>
  <c r="I187" i="6"/>
  <c r="K187" i="6" s="1"/>
  <c r="M187" i="6" s="1"/>
  <c r="M186" i="6"/>
  <c r="L186" i="6"/>
  <c r="K186" i="6"/>
  <c r="I186" i="6"/>
  <c r="L185" i="6"/>
  <c r="I185" i="6"/>
  <c r="K185" i="6" s="1"/>
  <c r="M185" i="6" s="1"/>
  <c r="L184" i="6"/>
  <c r="I184" i="6"/>
  <c r="K184" i="6" s="1"/>
  <c r="M184" i="6" s="1"/>
  <c r="M183" i="6"/>
  <c r="L183" i="6"/>
  <c r="K183" i="6"/>
  <c r="I183" i="6"/>
  <c r="L182" i="6"/>
  <c r="I182" i="6"/>
  <c r="K182" i="6" s="1"/>
  <c r="M182" i="6" s="1"/>
  <c r="L181" i="6"/>
  <c r="I181" i="6"/>
  <c r="K181" i="6" s="1"/>
  <c r="M181" i="6" s="1"/>
  <c r="M180" i="6"/>
  <c r="L180" i="6"/>
  <c r="K180" i="6"/>
  <c r="I180" i="6"/>
  <c r="L179" i="6"/>
  <c r="I179" i="6"/>
  <c r="K179" i="6" s="1"/>
  <c r="M179" i="6" s="1"/>
  <c r="M178" i="6"/>
  <c r="L178" i="6"/>
  <c r="K178" i="6"/>
  <c r="L177" i="6"/>
  <c r="M177" i="6" s="1"/>
  <c r="K177" i="6"/>
  <c r="M176" i="6"/>
  <c r="L176" i="6"/>
  <c r="K176" i="6"/>
  <c r="L175" i="6"/>
  <c r="K175" i="6"/>
  <c r="M175" i="6" s="1"/>
  <c r="M174" i="6"/>
  <c r="L174" i="6"/>
  <c r="K174" i="6"/>
  <c r="L172" i="6"/>
  <c r="I172" i="6"/>
  <c r="K172" i="6" s="1"/>
  <c r="M172" i="6" s="1"/>
  <c r="L171" i="6"/>
  <c r="I171" i="6"/>
  <c r="K171" i="6" s="1"/>
  <c r="M171" i="6" s="1"/>
  <c r="M170" i="6"/>
  <c r="L170" i="6"/>
  <c r="K170" i="6"/>
  <c r="I170" i="6"/>
  <c r="L169" i="6"/>
  <c r="I169" i="6"/>
  <c r="K169" i="6" s="1"/>
  <c r="M169" i="6" s="1"/>
  <c r="L168" i="6"/>
  <c r="I168" i="6"/>
  <c r="K168" i="6" s="1"/>
  <c r="M168" i="6" s="1"/>
  <c r="M167" i="6"/>
  <c r="L167" i="6"/>
  <c r="K167" i="6"/>
  <c r="I167" i="6"/>
  <c r="L166" i="6"/>
  <c r="I166" i="6"/>
  <c r="K166" i="6" s="1"/>
  <c r="M166" i="6" s="1"/>
  <c r="L165" i="6"/>
  <c r="I165" i="6"/>
  <c r="K165" i="6" s="1"/>
  <c r="M165" i="6" s="1"/>
  <c r="M164" i="6"/>
  <c r="L164" i="6"/>
  <c r="K164" i="6"/>
  <c r="I164" i="6"/>
  <c r="L163" i="6"/>
  <c r="I163" i="6"/>
  <c r="K163" i="6" s="1"/>
  <c r="M163" i="6" s="1"/>
  <c r="L162" i="6"/>
  <c r="I162" i="6"/>
  <c r="K162" i="6" s="1"/>
  <c r="M162" i="6" s="1"/>
  <c r="M161" i="6"/>
  <c r="L161" i="6"/>
  <c r="K161" i="6"/>
  <c r="I161" i="6"/>
  <c r="L160" i="6"/>
  <c r="M160" i="6" s="1"/>
  <c r="K160" i="6"/>
  <c r="M159" i="6"/>
  <c r="L159" i="6"/>
  <c r="K159" i="6"/>
  <c r="L158" i="6"/>
  <c r="K158" i="6"/>
  <c r="M158" i="6" s="1"/>
  <c r="M157" i="6"/>
  <c r="L157" i="6"/>
  <c r="K157" i="6"/>
  <c r="L156" i="6"/>
  <c r="M156" i="6" s="1"/>
  <c r="K156" i="6"/>
  <c r="M153" i="6"/>
  <c r="L153" i="6"/>
  <c r="K153" i="6"/>
  <c r="I153" i="6"/>
  <c r="L152" i="6"/>
  <c r="I152" i="6"/>
  <c r="K152" i="6" s="1"/>
  <c r="M152" i="6" s="1"/>
  <c r="L151" i="6"/>
  <c r="K151" i="6"/>
  <c r="M151" i="6" s="1"/>
  <c r="I151" i="6"/>
  <c r="M150" i="6"/>
  <c r="L150" i="6"/>
  <c r="K150" i="6"/>
  <c r="I150" i="6"/>
  <c r="L149" i="6"/>
  <c r="I149" i="6"/>
  <c r="K149" i="6" s="1"/>
  <c r="M149" i="6" s="1"/>
  <c r="L148" i="6"/>
  <c r="K148" i="6"/>
  <c r="M148" i="6" s="1"/>
  <c r="I148" i="6"/>
  <c r="M147" i="6"/>
  <c r="L147" i="6"/>
  <c r="K147" i="6"/>
  <c r="I147" i="6"/>
  <c r="L146" i="6"/>
  <c r="I146" i="6"/>
  <c r="K146" i="6" s="1"/>
  <c r="M146" i="6" s="1"/>
  <c r="L145" i="6"/>
  <c r="K145" i="6"/>
  <c r="M145" i="6" s="1"/>
  <c r="I145" i="6"/>
  <c r="M144" i="6"/>
  <c r="L144" i="6"/>
  <c r="K144" i="6"/>
  <c r="I144" i="6"/>
  <c r="L143" i="6"/>
  <c r="I143" i="6"/>
  <c r="K143" i="6" s="1"/>
  <c r="M143" i="6" s="1"/>
  <c r="L142" i="6"/>
  <c r="K142" i="6"/>
  <c r="M142" i="6" s="1"/>
  <c r="I142" i="6"/>
  <c r="M140" i="6"/>
  <c r="L140" i="6"/>
  <c r="K140" i="6"/>
  <c r="I140" i="6"/>
  <c r="L139" i="6"/>
  <c r="I139" i="6"/>
  <c r="K139" i="6" s="1"/>
  <c r="M139" i="6" s="1"/>
  <c r="L137" i="6"/>
  <c r="K137" i="6"/>
  <c r="M137" i="6" s="1"/>
  <c r="I137" i="6"/>
  <c r="M136" i="6"/>
  <c r="L136" i="6"/>
  <c r="K136" i="6"/>
  <c r="I136" i="6"/>
  <c r="L135" i="6"/>
  <c r="I135" i="6"/>
  <c r="K135" i="6" s="1"/>
  <c r="M135" i="6" s="1"/>
  <c r="L134" i="6"/>
  <c r="K134" i="6"/>
  <c r="M134" i="6" s="1"/>
  <c r="I134" i="6"/>
  <c r="M133" i="6"/>
  <c r="L133" i="6"/>
  <c r="K133" i="6"/>
  <c r="I133" i="6"/>
  <c r="L131" i="6"/>
  <c r="I131" i="6"/>
  <c r="K131" i="6" s="1"/>
  <c r="M131" i="6" s="1"/>
  <c r="L130" i="6"/>
  <c r="K130" i="6"/>
  <c r="M130" i="6" s="1"/>
  <c r="I130" i="6"/>
  <c r="M129" i="6"/>
  <c r="L129" i="6"/>
  <c r="K129" i="6"/>
  <c r="I129" i="6"/>
  <c r="L128" i="6"/>
  <c r="I128" i="6"/>
  <c r="K128" i="6" s="1"/>
  <c r="M128" i="6" s="1"/>
  <c r="L127" i="6"/>
  <c r="K127" i="6"/>
  <c r="M127" i="6" s="1"/>
  <c r="I127" i="6"/>
  <c r="M125" i="6"/>
  <c r="L125" i="6"/>
  <c r="K125" i="6"/>
  <c r="I125" i="6"/>
  <c r="L124" i="6"/>
  <c r="I124" i="6"/>
  <c r="K124" i="6" s="1"/>
  <c r="M124" i="6" s="1"/>
  <c r="L123" i="6"/>
  <c r="K123" i="6"/>
  <c r="M123" i="6" s="1"/>
  <c r="I123" i="6"/>
  <c r="M122" i="6"/>
  <c r="L122" i="6"/>
  <c r="K122" i="6"/>
  <c r="I122" i="6"/>
  <c r="L121" i="6"/>
  <c r="I121" i="6"/>
  <c r="K121" i="6" s="1"/>
  <c r="M121" i="6" s="1"/>
  <c r="L120" i="6"/>
  <c r="K120" i="6"/>
  <c r="M120" i="6" s="1"/>
  <c r="I120" i="6"/>
  <c r="M119" i="6"/>
  <c r="L119" i="6"/>
  <c r="K119" i="6"/>
  <c r="I119" i="6"/>
  <c r="L118" i="6"/>
  <c r="I118" i="6"/>
  <c r="K118" i="6" s="1"/>
  <c r="M118" i="6" s="1"/>
  <c r="L116" i="6"/>
  <c r="K116" i="6"/>
  <c r="M116" i="6" s="1"/>
  <c r="I116" i="6"/>
  <c r="M115" i="6"/>
  <c r="L115" i="6"/>
  <c r="K115" i="6"/>
  <c r="I115" i="6"/>
  <c r="L114" i="6"/>
  <c r="I114" i="6"/>
  <c r="K114" i="6" s="1"/>
  <c r="M114" i="6" s="1"/>
  <c r="L113" i="6"/>
  <c r="K113" i="6"/>
  <c r="M113" i="6" s="1"/>
  <c r="I113" i="6"/>
  <c r="M112" i="6"/>
  <c r="L112" i="6"/>
  <c r="K112" i="6"/>
  <c r="I112" i="6"/>
  <c r="L110" i="6"/>
  <c r="I110" i="6"/>
  <c r="K110" i="6" s="1"/>
  <c r="M110" i="6" s="1"/>
  <c r="L109" i="6"/>
  <c r="K109" i="6"/>
  <c r="M109" i="6" s="1"/>
  <c r="I109" i="6"/>
  <c r="M108" i="6"/>
  <c r="L108" i="6"/>
  <c r="K108" i="6"/>
  <c r="I108" i="6"/>
  <c r="L107" i="6"/>
  <c r="I107" i="6"/>
  <c r="K107" i="6" s="1"/>
  <c r="M107" i="6" s="1"/>
  <c r="L106" i="6"/>
  <c r="K106" i="6"/>
  <c r="M106" i="6" s="1"/>
  <c r="I106" i="6"/>
  <c r="M105" i="6"/>
  <c r="L105" i="6"/>
  <c r="K105" i="6"/>
  <c r="I105" i="6"/>
  <c r="L104" i="6"/>
  <c r="I104" i="6"/>
  <c r="K104" i="6" s="1"/>
  <c r="M104" i="6" s="1"/>
  <c r="L103" i="6"/>
  <c r="K103" i="6"/>
  <c r="M103" i="6" s="1"/>
  <c r="I103" i="6"/>
  <c r="L102" i="6"/>
  <c r="I102" i="6"/>
  <c r="K102" i="6" s="1"/>
  <c r="M102" i="6" s="1"/>
  <c r="L100" i="6"/>
  <c r="I100" i="6"/>
  <c r="K100" i="6" s="1"/>
  <c r="M100" i="6" s="1"/>
  <c r="L99" i="6"/>
  <c r="K99" i="6"/>
  <c r="M99" i="6" s="1"/>
  <c r="I99" i="6"/>
  <c r="L98" i="6"/>
  <c r="I98" i="6"/>
  <c r="K98" i="6" s="1"/>
  <c r="M98" i="6" s="1"/>
  <c r="L97" i="6"/>
  <c r="I97" i="6"/>
  <c r="K97" i="6" s="1"/>
  <c r="M97" i="6" s="1"/>
  <c r="L96" i="6"/>
  <c r="K96" i="6"/>
  <c r="M96" i="6" s="1"/>
  <c r="I96" i="6"/>
  <c r="L95" i="6"/>
  <c r="I95" i="6"/>
  <c r="K95" i="6" s="1"/>
  <c r="M95" i="6" s="1"/>
  <c r="L94" i="6"/>
  <c r="I94" i="6"/>
  <c r="K94" i="6" s="1"/>
  <c r="M94" i="6" s="1"/>
  <c r="L93" i="6"/>
  <c r="K93" i="6"/>
  <c r="M93" i="6" s="1"/>
  <c r="I93" i="6"/>
  <c r="L92" i="6"/>
  <c r="I92" i="6"/>
  <c r="K92" i="6" s="1"/>
  <c r="M92" i="6" s="1"/>
  <c r="L91" i="6"/>
  <c r="I91" i="6"/>
  <c r="K91" i="6" s="1"/>
  <c r="M91" i="6" s="1"/>
  <c r="L89" i="6"/>
  <c r="K89" i="6"/>
  <c r="M89" i="6" s="1"/>
  <c r="I89" i="6"/>
  <c r="L88" i="6"/>
  <c r="I88" i="6"/>
  <c r="K88" i="6" s="1"/>
  <c r="M88" i="6" s="1"/>
  <c r="L87" i="6"/>
  <c r="I87" i="6"/>
  <c r="K87" i="6" s="1"/>
  <c r="M87" i="6" s="1"/>
  <c r="L86" i="6"/>
  <c r="K86" i="6"/>
  <c r="M86" i="6" s="1"/>
  <c r="I86" i="6"/>
  <c r="L85" i="6"/>
  <c r="I85" i="6"/>
  <c r="K85" i="6" s="1"/>
  <c r="M85" i="6" s="1"/>
  <c r="L83" i="6"/>
  <c r="I83" i="6"/>
  <c r="K83" i="6" s="1"/>
  <c r="M83" i="6" s="1"/>
  <c r="L82" i="6"/>
  <c r="K82" i="6"/>
  <c r="M82" i="6" s="1"/>
  <c r="I82" i="6"/>
  <c r="L81" i="6"/>
  <c r="I81" i="6"/>
  <c r="K81" i="6" s="1"/>
  <c r="M81" i="6" s="1"/>
  <c r="L80" i="6"/>
  <c r="I80" i="6"/>
  <c r="K80" i="6" s="1"/>
  <c r="M80" i="6" s="1"/>
  <c r="L79" i="6"/>
  <c r="K79" i="6"/>
  <c r="M79" i="6" s="1"/>
  <c r="I79" i="6"/>
  <c r="L77" i="6"/>
  <c r="I77" i="6"/>
  <c r="K77" i="6" s="1"/>
  <c r="M77" i="6" s="1"/>
  <c r="L76" i="6"/>
  <c r="I76" i="6"/>
  <c r="K76" i="6" s="1"/>
  <c r="M76" i="6" s="1"/>
  <c r="L75" i="6"/>
  <c r="K75" i="6"/>
  <c r="M75" i="6" s="1"/>
  <c r="I75" i="6"/>
  <c r="L74" i="6"/>
  <c r="I74" i="6"/>
  <c r="K74" i="6" s="1"/>
  <c r="M74" i="6" s="1"/>
  <c r="L73" i="6"/>
  <c r="I73" i="6"/>
  <c r="K73" i="6" s="1"/>
  <c r="M73" i="6" s="1"/>
  <c r="L72" i="6"/>
  <c r="K72" i="6"/>
  <c r="M72" i="6" s="1"/>
  <c r="I72" i="6"/>
  <c r="L71" i="6"/>
  <c r="I71" i="6"/>
  <c r="K71" i="6" s="1"/>
  <c r="M71" i="6" s="1"/>
  <c r="L70" i="6"/>
  <c r="I70" i="6"/>
  <c r="K70" i="6" s="1"/>
  <c r="M70" i="6" s="1"/>
  <c r="L67" i="6"/>
  <c r="K67" i="6"/>
  <c r="M67" i="6" s="1"/>
  <c r="L66" i="6"/>
  <c r="M66" i="6" s="1"/>
  <c r="K66" i="6"/>
  <c r="L65" i="6"/>
  <c r="M65" i="6" s="1"/>
  <c r="K65" i="6"/>
  <c r="L64" i="6"/>
  <c r="K64" i="6"/>
  <c r="M64" i="6" s="1"/>
  <c r="L62" i="6"/>
  <c r="K62" i="6"/>
  <c r="M62" i="6" s="1"/>
  <c r="L61" i="6"/>
  <c r="M61" i="6" s="1"/>
  <c r="K61" i="6"/>
  <c r="L59" i="6"/>
  <c r="K59" i="6"/>
  <c r="M59" i="6" s="1"/>
  <c r="L58" i="6"/>
  <c r="K58" i="6"/>
  <c r="M58" i="6" s="1"/>
  <c r="L56" i="6"/>
  <c r="K56" i="6"/>
  <c r="M56" i="6" s="1"/>
  <c r="L55" i="6"/>
  <c r="M55" i="6" s="1"/>
  <c r="K55" i="6"/>
  <c r="L53" i="6"/>
  <c r="K53" i="6"/>
  <c r="M53" i="6" s="1"/>
  <c r="L52" i="6"/>
  <c r="K52" i="6"/>
  <c r="M52" i="6" s="1"/>
  <c r="L50" i="6"/>
  <c r="K50" i="6"/>
  <c r="M50" i="6" s="1"/>
  <c r="L48" i="6"/>
  <c r="M48" i="6" s="1"/>
  <c r="K48" i="6"/>
  <c r="L47" i="6"/>
  <c r="M47" i="6" s="1"/>
  <c r="K47" i="6"/>
  <c r="L45" i="6"/>
  <c r="K45" i="6"/>
  <c r="M45" i="6" s="1"/>
  <c r="L44" i="6"/>
  <c r="K44" i="6"/>
  <c r="M44" i="6" s="1"/>
  <c r="L42" i="6"/>
  <c r="M42" i="6" s="1"/>
  <c r="K42" i="6"/>
  <c r="L41" i="6"/>
  <c r="K41" i="6"/>
  <c r="M41" i="6" s="1"/>
  <c r="L39" i="6"/>
  <c r="K39" i="6"/>
  <c r="M39" i="6" s="1"/>
  <c r="L38" i="6"/>
  <c r="K38" i="6"/>
  <c r="M38" i="6" s="1"/>
  <c r="L36" i="6"/>
  <c r="M36" i="6" s="1"/>
  <c r="K36" i="6"/>
  <c r="L35" i="6"/>
  <c r="K35" i="6"/>
  <c r="M35" i="6" s="1"/>
  <c r="L32" i="6"/>
  <c r="K32" i="6"/>
  <c r="M32" i="6" s="1"/>
  <c r="L31" i="6"/>
  <c r="K31" i="6"/>
  <c r="M31" i="6" s="1"/>
  <c r="I31" i="6"/>
  <c r="L30" i="6"/>
  <c r="I30" i="6"/>
  <c r="K30" i="6" s="1"/>
  <c r="M30" i="6" s="1"/>
  <c r="L29" i="6"/>
  <c r="I29" i="6"/>
  <c r="K29" i="6" s="1"/>
  <c r="M29" i="6" s="1"/>
  <c r="L28" i="6"/>
  <c r="K28" i="6"/>
  <c r="M28" i="6" s="1"/>
  <c r="I28" i="6"/>
  <c r="L27" i="6"/>
  <c r="I27" i="6"/>
  <c r="K27" i="6" s="1"/>
  <c r="M27" i="6" s="1"/>
  <c r="L26" i="6"/>
  <c r="I26" i="6"/>
  <c r="K26" i="6" s="1"/>
  <c r="M26" i="6" s="1"/>
  <c r="L25" i="6"/>
  <c r="K25" i="6"/>
  <c r="M25" i="6" s="1"/>
  <c r="I25" i="6"/>
  <c r="L24" i="6"/>
  <c r="I24" i="6"/>
  <c r="K24" i="6" s="1"/>
  <c r="M24" i="6" s="1"/>
  <c r="L23" i="6"/>
  <c r="I23" i="6"/>
  <c r="K23" i="6" s="1"/>
  <c r="M23" i="6" s="1"/>
  <c r="L22" i="6"/>
  <c r="K22" i="6"/>
  <c r="M22" i="6" s="1"/>
  <c r="I22" i="6"/>
  <c r="L21" i="6"/>
  <c r="I21" i="6"/>
  <c r="K21" i="6" s="1"/>
  <c r="M21" i="6" s="1"/>
  <c r="L20" i="6"/>
  <c r="I20" i="6"/>
  <c r="K20" i="6" s="1"/>
  <c r="M20" i="6" s="1"/>
  <c r="L19" i="6"/>
  <c r="K19" i="6"/>
  <c r="M19" i="6" s="1"/>
  <c r="I19" i="6"/>
  <c r="L18" i="6"/>
  <c r="I18" i="6"/>
  <c r="K18" i="6" s="1"/>
  <c r="M18" i="6" s="1"/>
  <c r="L17" i="6"/>
  <c r="I17" i="6"/>
  <c r="K17" i="6" s="1"/>
  <c r="M17" i="6" s="1"/>
  <c r="L16" i="6"/>
  <c r="K16" i="6"/>
  <c r="M16" i="6" s="1"/>
  <c r="I16" i="6"/>
  <c r="L15" i="6"/>
  <c r="I15" i="6"/>
  <c r="K15" i="6" s="1"/>
  <c r="M15" i="6" s="1"/>
  <c r="L14" i="6"/>
  <c r="I14" i="6"/>
  <c r="K14" i="6" s="1"/>
  <c r="M14" i="6" s="1"/>
  <c r="L13" i="6"/>
  <c r="K13" i="6"/>
  <c r="M13" i="6" s="1"/>
  <c r="I13" i="6"/>
  <c r="L12" i="6"/>
  <c r="I12" i="6"/>
  <c r="K12" i="6" s="1"/>
  <c r="M12" i="6" s="1"/>
  <c r="L11" i="6"/>
  <c r="I11" i="6"/>
  <c r="K11" i="6" s="1"/>
  <c r="M11" i="6" s="1"/>
  <c r="L10" i="6"/>
  <c r="K10" i="6"/>
  <c r="M10" i="6" s="1"/>
  <c r="I10" i="6"/>
  <c r="L9" i="6"/>
  <c r="I9" i="6"/>
  <c r="K9" i="6" s="1"/>
  <c r="M9" i="6" s="1"/>
  <c r="L8" i="6"/>
  <c r="I8" i="6"/>
  <c r="K8" i="6" s="1"/>
  <c r="M8" i="6" s="1"/>
  <c r="L7" i="6"/>
  <c r="K7" i="6"/>
  <c r="M7" i="6" s="1"/>
  <c r="I7" i="6"/>
  <c r="L6" i="6"/>
  <c r="I6" i="6"/>
  <c r="K6" i="6" s="1"/>
  <c r="M6" i="6" s="1"/>
  <c r="L5" i="6"/>
  <c r="I5" i="6"/>
  <c r="K5" i="6" s="1"/>
  <c r="M5" i="6" s="1"/>
  <c r="L4" i="6"/>
  <c r="K4" i="6"/>
  <c r="M4" i="6" s="1"/>
  <c r="I4" i="6"/>
  <c r="L3" i="6"/>
  <c r="I3" i="6"/>
  <c r="K3" i="6" s="1"/>
  <c r="M3" i="6" s="1"/>
  <c r="D9" i="5" l="1"/>
  <c r="D10" i="5"/>
  <c r="D11" i="5"/>
  <c r="D12" i="5"/>
  <c r="D13" i="5"/>
  <c r="D16" i="5"/>
  <c r="D17" i="5"/>
  <c r="D22" i="5"/>
  <c r="D23" i="5"/>
  <c r="D25" i="5"/>
  <c r="D26" i="5"/>
  <c r="D27" i="5"/>
  <c r="D30" i="5"/>
  <c r="D32" i="5"/>
  <c r="D35" i="5"/>
  <c r="D36" i="5"/>
  <c r="D38" i="5"/>
  <c r="D39" i="5"/>
  <c r="D40" i="5"/>
  <c r="D42" i="5"/>
  <c r="D44" i="5"/>
  <c r="D45" i="5"/>
  <c r="D49" i="5"/>
  <c r="D50" i="5"/>
  <c r="D51" i="5"/>
  <c r="D55" i="5"/>
  <c r="D56" i="5"/>
  <c r="D58" i="5"/>
  <c r="D60" i="5"/>
  <c r="D63" i="5"/>
  <c r="D67" i="5"/>
  <c r="D68" i="5"/>
  <c r="D71" i="5"/>
  <c r="D72" i="5"/>
  <c r="D73" i="5"/>
  <c r="D74" i="5"/>
  <c r="D76" i="5"/>
  <c r="D77" i="5"/>
  <c r="D80" i="5"/>
  <c r="D81" i="5"/>
  <c r="D83" i="5"/>
  <c r="D84" i="5"/>
  <c r="D85" i="5"/>
  <c r="D87" i="5"/>
  <c r="D88" i="5"/>
  <c r="D89" i="5"/>
  <c r="D93" i="5"/>
  <c r="D96" i="5"/>
  <c r="D98" i="5"/>
  <c r="D99" i="5"/>
  <c r="D100" i="5"/>
  <c r="D101" i="5"/>
  <c r="D103" i="5"/>
  <c r="D104" i="5"/>
  <c r="D105" i="5"/>
  <c r="D108" i="5"/>
  <c r="D111" i="5"/>
  <c r="D112" i="5"/>
  <c r="D117" i="5"/>
  <c r="D118" i="5"/>
  <c r="D120" i="5"/>
  <c r="D121" i="5"/>
  <c r="D123" i="5"/>
  <c r="D126" i="5"/>
  <c r="D137" i="5"/>
  <c r="D144" i="5"/>
  <c r="D146" i="5"/>
  <c r="D147" i="5"/>
  <c r="D149" i="5"/>
  <c r="D153" i="5"/>
  <c r="D154" i="5"/>
  <c r="D158" i="5"/>
  <c r="D159" i="5"/>
  <c r="D160" i="5"/>
  <c r="D163" i="5"/>
  <c r="D164" i="5"/>
  <c r="D168" i="5"/>
  <c r="D169" i="5"/>
  <c r="D170" i="5"/>
  <c r="D171" i="5"/>
  <c r="D172" i="5"/>
  <c r="D174" i="5"/>
  <c r="D175" i="5"/>
  <c r="D176" i="5"/>
  <c r="D180" i="5"/>
  <c r="D183" i="5"/>
  <c r="D184" i="5"/>
  <c r="D185" i="5"/>
  <c r="D186" i="5"/>
  <c r="D187" i="5"/>
  <c r="D188" i="5"/>
  <c r="D189" i="5"/>
  <c r="D190" i="5"/>
  <c r="D191" i="5"/>
  <c r="D192" i="5"/>
  <c r="D193" i="5"/>
  <c r="D194" i="5"/>
  <c r="G55" i="3" l="1"/>
  <c r="O62" i="2"/>
  <c r="O61" i="2"/>
  <c r="O60" i="2"/>
  <c r="O59" i="2"/>
  <c r="O58" i="2"/>
  <c r="O57" i="2"/>
  <c r="O56" i="2"/>
  <c r="O55" i="2"/>
  <c r="O54" i="2"/>
  <c r="O53" i="2"/>
  <c r="O52" i="2"/>
  <c r="O51" i="2"/>
  <c r="O50" i="2"/>
  <c r="O49" i="2"/>
  <c r="O48" i="2"/>
  <c r="O47" i="2"/>
  <c r="O46" i="2"/>
  <c r="O45" i="2"/>
  <c r="O44" i="2"/>
  <c r="O43" i="2"/>
  <c r="O42" i="2"/>
  <c r="I42" i="2"/>
  <c r="I43" i="2" s="1"/>
  <c r="I44" i="2" s="1"/>
  <c r="I45" i="2" s="1"/>
  <c r="I46" i="2" s="1"/>
  <c r="I47" i="2" s="1"/>
  <c r="I48" i="2" s="1"/>
  <c r="I49" i="2" s="1"/>
  <c r="I50" i="2" s="1"/>
  <c r="I51" i="2" s="1"/>
  <c r="I52" i="2" s="1"/>
  <c r="I53" i="2" s="1"/>
  <c r="I54" i="2" s="1"/>
  <c r="I55" i="2" s="1"/>
  <c r="I56" i="2" s="1"/>
  <c r="I57" i="2" s="1"/>
  <c r="I58" i="2" s="1"/>
  <c r="I59" i="2" s="1"/>
  <c r="I60" i="2" s="1"/>
  <c r="I61" i="2" s="1"/>
  <c r="G57" i="3"/>
  <c r="G38" i="3"/>
  <c r="G39" i="3"/>
  <c r="G40" i="3"/>
  <c r="G41" i="3"/>
  <c r="G42" i="3"/>
  <c r="G43" i="3"/>
  <c r="G44" i="3"/>
  <c r="G45" i="3"/>
  <c r="G46" i="3"/>
  <c r="G47" i="3"/>
  <c r="G48" i="3"/>
  <c r="G49" i="3"/>
  <c r="G50" i="3"/>
  <c r="G51" i="3"/>
  <c r="G52" i="3"/>
  <c r="G53" i="3"/>
  <c r="G54" i="3"/>
  <c r="G56" i="3"/>
  <c r="G58" i="3"/>
  <c r="G37" i="3"/>
  <c r="A38" i="3"/>
  <c r="A39" i="3" s="1"/>
  <c r="A40" i="3" s="1"/>
  <c r="A41" i="3" s="1"/>
  <c r="A42" i="3" s="1"/>
  <c r="A43" i="3" s="1"/>
  <c r="A44" i="3" s="1"/>
  <c r="A45" i="3" s="1"/>
  <c r="A46" i="3" s="1"/>
  <c r="A47" i="3" s="1"/>
  <c r="A48" i="3" s="1"/>
  <c r="A49" i="3" s="1"/>
  <c r="A50" i="3" s="1"/>
  <c r="A51" i="3" s="1"/>
  <c r="A52" i="3" s="1"/>
  <c r="A53" i="3" s="1"/>
  <c r="A54" i="3" s="1"/>
  <c r="A55" i="3" s="1"/>
  <c r="G84" i="2"/>
  <c r="G85" i="2"/>
  <c r="G83" i="2"/>
  <c r="G82" i="2"/>
  <c r="G81" i="2"/>
  <c r="G80" i="2"/>
  <c r="G79" i="2"/>
  <c r="G78" i="2"/>
  <c r="G77" i="2"/>
  <c r="G76" i="2"/>
  <c r="G75" i="2"/>
  <c r="G74" i="2"/>
  <c r="G73" i="2"/>
  <c r="G72" i="2"/>
  <c r="G71" i="2"/>
  <c r="G70" i="2"/>
  <c r="G69" i="2"/>
  <c r="G68" i="2"/>
  <c r="G67" i="2"/>
  <c r="G66" i="2"/>
  <c r="A35" i="2"/>
  <c r="A36" i="2" s="1"/>
  <c r="A37" i="2" s="1"/>
  <c r="A38" i="2" s="1"/>
  <c r="A39" i="2" s="1"/>
  <c r="A40" i="2" s="1"/>
  <c r="A42" i="2" s="1"/>
  <c r="A43" i="2" s="1"/>
  <c r="A44" i="2" s="1"/>
  <c r="A45" i="2" s="1"/>
  <c r="A46" i="2" s="1"/>
  <c r="A47" i="2" s="1"/>
  <c r="A48" i="2" s="1"/>
  <c r="A49" i="2" s="1"/>
  <c r="A50" i="2" s="1"/>
  <c r="A51" i="2" s="1"/>
  <c r="A52" i="2" s="1"/>
  <c r="A53" i="2" s="1"/>
  <c r="A54" i="2" s="1"/>
  <c r="A55" i="2" s="1"/>
  <c r="A56" i="2" s="1"/>
  <c r="A57" i="2" s="1"/>
  <c r="A58" i="2" s="1"/>
  <c r="A59" i="2" s="1"/>
  <c r="A60" i="2" s="1"/>
  <c r="A61" i="2" s="1"/>
  <c r="A65" i="2" s="1"/>
  <c r="A66" i="2" s="1"/>
  <c r="A67" i="2" s="1"/>
  <c r="A68" i="2" s="1"/>
  <c r="A69" i="2" s="1"/>
  <c r="A70" i="2" s="1"/>
  <c r="A71" i="2" s="1"/>
  <c r="A72" i="2" s="1"/>
  <c r="A73" i="2" s="1"/>
  <c r="A74" i="2" s="1"/>
  <c r="A75" i="2" s="1"/>
  <c r="A76" i="2" s="1"/>
  <c r="A77" i="2" s="1"/>
  <c r="A78" i="2" s="1"/>
  <c r="A79" i="2" s="1"/>
  <c r="A80" i="2" s="1"/>
  <c r="A81" i="2" s="1"/>
  <c r="A82" i="2" s="1"/>
  <c r="A83" i="2" s="1"/>
  <c r="A85" i="2" s="1"/>
  <c r="G28" i="2"/>
  <c r="G27" i="2"/>
  <c r="G26" i="2"/>
  <c r="G25" i="2"/>
  <c r="G24" i="2"/>
  <c r="G23" i="2"/>
  <c r="G22" i="2"/>
  <c r="G21" i="2"/>
  <c r="G20" i="2"/>
  <c r="G19" i="2"/>
  <c r="G18" i="2"/>
  <c r="G17" i="2"/>
  <c r="G16" i="2"/>
  <c r="G15" i="2"/>
  <c r="G14" i="2"/>
  <c r="G13" i="2"/>
  <c r="G12" i="2"/>
  <c r="G11" i="2"/>
  <c r="A11" i="2"/>
  <c r="A12" i="2" s="1"/>
  <c r="A13" i="2" s="1"/>
  <c r="A14" i="2" s="1"/>
  <c r="A15" i="2" s="1"/>
  <c r="A16" i="2" s="1"/>
  <c r="A17" i="2" s="1"/>
  <c r="A18" i="2" s="1"/>
  <c r="A19" i="2" s="1"/>
  <c r="A20" i="2" s="1"/>
  <c r="A21" i="2" s="1"/>
  <c r="A22" i="2" s="1"/>
  <c r="A23" i="2" s="1"/>
  <c r="A24" i="2" s="1"/>
  <c r="A25" i="2" s="1"/>
  <c r="A26" i="2" s="1"/>
  <c r="A27" i="2" s="1"/>
  <c r="A28" i="2" s="1"/>
  <c r="G10" i="2"/>
  <c r="G59" i="3" l="1"/>
  <c r="G50" i="5" s="1"/>
  <c r="G87" i="2"/>
  <c r="G26" i="5" s="1"/>
  <c r="A84" i="2"/>
  <c r="A58" i="3"/>
  <c r="A56" i="3"/>
  <c r="A57" i="3" s="1"/>
  <c r="F26" i="3" l="1"/>
  <c r="F25" i="3"/>
  <c r="F24" i="3"/>
  <c r="F23" i="3"/>
  <c r="F22" i="3"/>
  <c r="F21" i="3"/>
  <c r="F20" i="3"/>
  <c r="F19" i="3"/>
  <c r="F18" i="3"/>
  <c r="F17" i="3"/>
  <c r="F15" i="3"/>
  <c r="F14" i="3"/>
  <c r="F13" i="3"/>
  <c r="F55" i="2"/>
  <c r="F54" i="2"/>
  <c r="F53" i="2"/>
  <c r="F52" i="2"/>
  <c r="F51" i="2"/>
  <c r="F50" i="2"/>
  <c r="F49" i="2"/>
  <c r="F48" i="2"/>
  <c r="F47" i="2"/>
  <c r="F46" i="2"/>
  <c r="F45" i="2"/>
  <c r="F44" i="2"/>
  <c r="F43" i="2"/>
  <c r="F42" i="2"/>
  <c r="E28" i="3"/>
  <c r="H26" i="5"/>
  <c r="H27" i="5"/>
  <c r="H28" i="5"/>
  <c r="H29" i="5"/>
  <c r="H31" i="5"/>
  <c r="H32" i="5"/>
  <c r="H33" i="5"/>
  <c r="H34" i="5"/>
  <c r="H36" i="5"/>
  <c r="H37" i="5"/>
  <c r="H38" i="5"/>
  <c r="H39" i="5"/>
  <c r="H40" i="5"/>
  <c r="H41" i="5"/>
  <c r="H42" i="5"/>
  <c r="H43" i="5"/>
  <c r="H44" i="5"/>
  <c r="H45" i="5"/>
  <c r="H46" i="5"/>
  <c r="H47" i="5"/>
  <c r="H48" i="5"/>
  <c r="H50" i="5"/>
  <c r="H51" i="5"/>
  <c r="H52" i="5"/>
  <c r="H53" i="5"/>
  <c r="H54" i="5"/>
  <c r="H55" i="5"/>
  <c r="H56" i="5"/>
  <c r="H57" i="5"/>
  <c r="H58" i="5"/>
  <c r="H59" i="5"/>
  <c r="H60" i="5"/>
  <c r="H61" i="5"/>
  <c r="H62"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1" i="5"/>
  <c r="H12" i="5"/>
  <c r="H13" i="5"/>
  <c r="H14" i="5"/>
  <c r="H15" i="5"/>
  <c r="H16" i="5"/>
  <c r="H17" i="5"/>
  <c r="H18" i="5"/>
  <c r="H19" i="5"/>
  <c r="H20" i="5"/>
  <c r="H21" i="5"/>
  <c r="H23" i="5"/>
  <c r="H24" i="5"/>
  <c r="F194" i="5" l="1"/>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4" i="5"/>
  <c r="F63" i="5"/>
  <c r="F62" i="5"/>
  <c r="F61" i="5"/>
  <c r="F60" i="5"/>
  <c r="F59" i="5"/>
  <c r="F58" i="5"/>
  <c r="F57" i="5"/>
  <c r="F56" i="5"/>
  <c r="F55" i="5"/>
  <c r="F54" i="5"/>
  <c r="F53" i="5"/>
  <c r="F52" i="5"/>
  <c r="F51" i="5"/>
  <c r="F50" i="5"/>
  <c r="F49" i="5"/>
  <c r="F48" i="5"/>
  <c r="F47" i="5"/>
  <c r="F46" i="5"/>
  <c r="F45" i="5"/>
  <c r="F44" i="5"/>
  <c r="F42" i="5"/>
  <c r="F41" i="5"/>
  <c r="F40" i="5"/>
  <c r="F39" i="5"/>
  <c r="F38" i="5"/>
  <c r="F37" i="5"/>
  <c r="F36" i="5"/>
  <c r="E35" i="5"/>
  <c r="H35" i="5" s="1"/>
  <c r="F34" i="5"/>
  <c r="F33" i="5"/>
  <c r="F32" i="5"/>
  <c r="F31" i="5"/>
  <c r="F30" i="5"/>
  <c r="F29" i="5"/>
  <c r="F28" i="5"/>
  <c r="F27" i="5"/>
  <c r="F26" i="5"/>
  <c r="F25" i="5"/>
  <c r="F24" i="5"/>
  <c r="F23" i="5"/>
  <c r="F22" i="5"/>
  <c r="F21" i="5"/>
  <c r="F20" i="5"/>
  <c r="F19" i="5"/>
  <c r="F18" i="5"/>
  <c r="F17" i="5"/>
  <c r="F16" i="5"/>
  <c r="F15" i="5"/>
  <c r="F14" i="5"/>
  <c r="F13" i="5"/>
  <c r="F12" i="5"/>
  <c r="F11" i="5"/>
  <c r="F10" i="5"/>
  <c r="F9" i="5"/>
  <c r="F35" i="5" l="1"/>
  <c r="F196" i="5" s="1"/>
  <c r="F197" i="5" s="1"/>
  <c r="F198" i="5" s="1"/>
  <c r="G14" i="3" l="1"/>
  <c r="G16" i="3"/>
  <c r="G17" i="3"/>
  <c r="G20" i="3"/>
  <c r="G21" i="3"/>
  <c r="G24" i="3"/>
  <c r="G25" i="3"/>
  <c r="G29" i="3"/>
  <c r="G13" i="3"/>
  <c r="G31" i="3"/>
  <c r="G30" i="3"/>
  <c r="G28" i="3"/>
  <c r="G27" i="3"/>
  <c r="G26" i="3"/>
  <c r="G23" i="3"/>
  <c r="G22" i="3"/>
  <c r="G19" i="3"/>
  <c r="G18" i="3"/>
  <c r="G15" i="3"/>
  <c r="A14" i="3"/>
  <c r="A15" i="3" s="1"/>
  <c r="A16" i="3" s="1"/>
  <c r="A17" i="3" s="1"/>
  <c r="A18" i="3" s="1"/>
  <c r="A19" i="3" s="1"/>
  <c r="A20" i="3" s="1"/>
  <c r="A21" i="3" s="1"/>
  <c r="A22" i="3" s="1"/>
  <c r="A23" i="3" s="1"/>
  <c r="A24" i="3" s="1"/>
  <c r="A25" i="3" s="1"/>
  <c r="A26" i="3" s="1"/>
  <c r="A27" i="3" s="1"/>
  <c r="A28" i="3" s="1"/>
  <c r="G61" i="2"/>
  <c r="G60" i="2"/>
  <c r="G59" i="2"/>
  <c r="G58" i="2"/>
  <c r="G56" i="2"/>
  <c r="G55" i="2"/>
  <c r="G54" i="2"/>
  <c r="G52" i="2"/>
  <c r="G51" i="2"/>
  <c r="G50" i="2"/>
  <c r="G46" i="2"/>
  <c r="G45" i="2"/>
  <c r="G44" i="2"/>
  <c r="G42" i="2"/>
  <c r="G43" i="2"/>
  <c r="G53" i="2"/>
  <c r="G49" i="2"/>
  <c r="G47" i="2"/>
  <c r="G57" i="2"/>
  <c r="G48" i="2"/>
  <c r="G4" i="3"/>
  <c r="G5" i="3"/>
  <c r="G6" i="3"/>
  <c r="G7" i="3"/>
  <c r="G8" i="3"/>
  <c r="G9" i="3"/>
  <c r="G3" i="3"/>
  <c r="G40" i="2"/>
  <c r="G39" i="2"/>
  <c r="G38" i="2"/>
  <c r="G37" i="2"/>
  <c r="G36" i="2"/>
  <c r="G35" i="2"/>
  <c r="G34" i="2"/>
  <c r="G9" i="2"/>
  <c r="G8" i="2"/>
  <c r="G7" i="2"/>
  <c r="G6" i="2"/>
  <c r="G5" i="2"/>
  <c r="G4" i="2"/>
  <c r="G3" i="2"/>
  <c r="F19" i="1"/>
  <c r="I19" i="1" s="1"/>
  <c r="J19" i="1" s="1"/>
  <c r="F18" i="1"/>
  <c r="I18" i="1" s="1"/>
  <c r="J18" i="1" s="1"/>
  <c r="F17" i="1"/>
  <c r="I17" i="1" s="1"/>
  <c r="J17" i="1" s="1"/>
  <c r="F16" i="1"/>
  <c r="I16" i="1" s="1"/>
  <c r="J16" i="1" s="1"/>
  <c r="F15" i="1"/>
  <c r="I15" i="1" s="1"/>
  <c r="J15" i="1" s="1"/>
  <c r="F14" i="1"/>
  <c r="I14" i="1" s="1"/>
  <c r="J14" i="1" s="1"/>
  <c r="F13" i="1"/>
  <c r="I13" i="1" s="1"/>
  <c r="J13" i="1" s="1"/>
  <c r="J9" i="1"/>
  <c r="F9" i="1"/>
  <c r="J8" i="1"/>
  <c r="F8" i="1"/>
  <c r="J7" i="1"/>
  <c r="F7" i="1"/>
  <c r="J6" i="1"/>
  <c r="F6" i="1"/>
  <c r="J5" i="1"/>
  <c r="F5" i="1"/>
  <c r="J4" i="1"/>
  <c r="F4" i="1"/>
  <c r="J3" i="1"/>
  <c r="F3" i="1"/>
  <c r="G62" i="2" l="1"/>
  <c r="G30" i="5" s="1"/>
  <c r="G10" i="3"/>
  <c r="A29" i="3"/>
  <c r="A30" i="3" s="1"/>
  <c r="A31" i="3" s="1"/>
  <c r="G30" i="2"/>
  <c r="G32" i="3"/>
  <c r="G49" i="5" s="1"/>
  <c r="J20" i="1"/>
  <c r="J10" i="1"/>
  <c r="H9" i="5" l="1"/>
  <c r="H10" i="5"/>
  <c r="H49" i="5"/>
  <c r="H22" i="5"/>
  <c r="H30" i="5" l="1"/>
  <c r="H25" i="5"/>
  <c r="H63" i="5" l="1"/>
  <c r="H196" i="5" s="1"/>
  <c r="H197" i="5" s="1"/>
  <c r="H198" i="5" s="1"/>
</calcChain>
</file>

<file path=xl/sharedStrings.xml><?xml version="1.0" encoding="utf-8"?>
<sst xmlns="http://schemas.openxmlformats.org/spreadsheetml/2006/main" count="1064" uniqueCount="493">
  <si>
    <t>S.NO</t>
  </si>
  <si>
    <t>DESCRIPTION</t>
  </si>
  <si>
    <t>NO'S</t>
  </si>
  <si>
    <t>NGL</t>
  </si>
  <si>
    <t>EXISITING LEVEL</t>
  </si>
  <si>
    <t>EXCAVATION DEPTH</t>
  </si>
  <si>
    <t>Length (Mt)</t>
  </si>
  <si>
    <t>Width (Mt)</t>
  </si>
  <si>
    <t>Depth (Mt)</t>
  </si>
  <si>
    <t>QUANTITY CUM</t>
  </si>
  <si>
    <t>F1</t>
  </si>
  <si>
    <t>F2</t>
  </si>
  <si>
    <t>F3</t>
  </si>
  <si>
    <t>F4</t>
  </si>
  <si>
    <t>F6</t>
  </si>
  <si>
    <t>F9</t>
  </si>
  <si>
    <t>TOTAL</t>
  </si>
  <si>
    <t xml:space="preserve">FOOTONG </t>
  </si>
  <si>
    <t>RF1</t>
  </si>
  <si>
    <t>CON.1B: PCC QUANTITY  M10</t>
  </si>
  <si>
    <t>QUANTITY Sqm</t>
  </si>
  <si>
    <t>Main Bar</t>
  </si>
  <si>
    <t>Stirrups 1</t>
  </si>
  <si>
    <t>Stirrups 2</t>
  </si>
  <si>
    <t>Stirrups 3</t>
  </si>
  <si>
    <t>Link 1</t>
  </si>
  <si>
    <t>Link 2</t>
  </si>
  <si>
    <t>Link 3</t>
  </si>
  <si>
    <t>Link 4</t>
  </si>
  <si>
    <t>Link 5</t>
  </si>
  <si>
    <t>Stirrups 4</t>
  </si>
  <si>
    <t>Stirrups 5</t>
  </si>
  <si>
    <t>Stirrups 6</t>
  </si>
  <si>
    <t>Link 6</t>
  </si>
  <si>
    <t>MT</t>
  </si>
  <si>
    <t>P1</t>
  </si>
  <si>
    <t>P2</t>
  </si>
  <si>
    <t>P3</t>
  </si>
  <si>
    <t>P4</t>
  </si>
  <si>
    <t>P5</t>
  </si>
  <si>
    <t>P6</t>
  </si>
  <si>
    <t>P7</t>
  </si>
  <si>
    <t>P8</t>
  </si>
  <si>
    <t>P7a</t>
  </si>
  <si>
    <t>P8a</t>
  </si>
  <si>
    <t>C1</t>
  </si>
  <si>
    <t>C2</t>
  </si>
  <si>
    <t>ANNEXURE FOR PROCESS MILL CIVIL WORKS AT KHAMMAM PROPOSED PLANT</t>
  </si>
  <si>
    <t>Final Price</t>
  </si>
  <si>
    <t>ITEM</t>
  </si>
  <si>
    <t>UNIT</t>
  </si>
  <si>
    <t>TOTAL QUANTITY</t>
  </si>
  <si>
    <t>Total (Rs.)</t>
  </si>
  <si>
    <t>EXC</t>
  </si>
  <si>
    <t>EXCAVATION</t>
  </si>
  <si>
    <t>EXC.1</t>
  </si>
  <si>
    <t>EXCAVATION FOR FOUNDATION PITS,  TRENCHES ETC.</t>
  </si>
  <si>
    <t>EXC.1A</t>
  </si>
  <si>
    <t>FOR DEPTH UPTO 1.5M</t>
  </si>
  <si>
    <t>M3</t>
  </si>
  <si>
    <t>EXC.1B</t>
  </si>
  <si>
    <t>FOR DEPTH -  1.5M TO 3.0M</t>
  </si>
  <si>
    <t>EXC.1C</t>
  </si>
  <si>
    <t>FOR DEPTH -  3.0M TO 4.5 M.</t>
  </si>
  <si>
    <t>EXC.1E</t>
  </si>
  <si>
    <t>TOP SOIL REMOVALWITH DEPTH NOT MORE THAN 300MM</t>
  </si>
  <si>
    <t>M2</t>
  </si>
  <si>
    <t>EXC.4</t>
  </si>
  <si>
    <t>CARTING MATERIAL FROM SITE  (2 KM RADIUS)</t>
  </si>
  <si>
    <t>EXC.5</t>
  </si>
  <si>
    <t>Filling for average height more than 750 mm in plinth</t>
  </si>
  <si>
    <t>EXC.7</t>
  </si>
  <si>
    <t>SUPPLY-FILL-COMPACT SAND BROUGHT FROM OUTSIDE</t>
  </si>
  <si>
    <t>EXC.7A</t>
  </si>
  <si>
    <t>FOR FINE SAND</t>
  </si>
  <si>
    <t>EXC.7C</t>
  </si>
  <si>
    <t>FOR SAND GRAVEL</t>
  </si>
  <si>
    <t>EXC.9</t>
  </si>
  <si>
    <t>ANTITERMITE TREATMENT</t>
  </si>
  <si>
    <t>CON</t>
  </si>
  <si>
    <t>CONCRETE</t>
  </si>
  <si>
    <t>CON.1</t>
  </si>
  <si>
    <t>PLAIN CEMENT CONCRETE</t>
  </si>
  <si>
    <t>CON.1B</t>
  </si>
  <si>
    <t>AS PER CON.1 1:4:8 P.C.C.</t>
  </si>
  <si>
    <t>CON.1D</t>
  </si>
  <si>
    <t>AS PER CON.1 1:2:4 P.C.C.</t>
  </si>
  <si>
    <t>CON.3</t>
  </si>
  <si>
    <t>M20 CONC. IN FOUNDATIONS, PEDESTALS, COLUMNS, BEAMS, COPINGS, WALLS, SLABS, SHELVES, STAIRS ETC.</t>
  </si>
  <si>
    <t>CON.3A</t>
  </si>
  <si>
    <t>AT AND BELOW PLINTH  LEVEL</t>
  </si>
  <si>
    <t>CON.3B</t>
  </si>
  <si>
    <t>PLINTH TO 4.5 M</t>
  </si>
  <si>
    <t>CON.3C</t>
  </si>
  <si>
    <t>4.5 M TO 9.0 M ABOVE PLINTH LEVEL</t>
  </si>
  <si>
    <t>CON.4</t>
  </si>
  <si>
    <t>M20 CONC.IN MACHINE FOUNDATIONS</t>
  </si>
  <si>
    <t>CON.5</t>
  </si>
  <si>
    <t>CONCRETE GRADE HIGHER THAN M20</t>
  </si>
  <si>
    <t>CON.5A</t>
  </si>
  <si>
    <t>EXTRA OVER M20 FOR M25 (ONLY ADDITIONAL COST FOR PROVIDING M25 GRADE OVER M20 GRADE SHOULD BE CONSIDERED)</t>
  </si>
  <si>
    <t>CON.6</t>
  </si>
  <si>
    <t>EXTRA OVER ITEM CON.3 AND CON.5 FOR USING TREMIX OR  EQUIVALENT (ONLY ADDITIONAL COST FOR TREMIX FLOORS SHOULD BE CONSIDERED, CONCRETE IS INCLUDED IN ITEM CON.3)</t>
  </si>
  <si>
    <t>CON.6C</t>
  </si>
  <si>
    <t>FOR 150 THICK</t>
  </si>
  <si>
    <t>FOR 100 THICK</t>
  </si>
  <si>
    <t>CON.9</t>
  </si>
  <si>
    <t xml:space="preserve">CEMENT GROUT </t>
  </si>
  <si>
    <t>CON.9A</t>
  </si>
  <si>
    <t>AS PER CON.9 BUT "SHRINKKOMP" OF ACC OR EQUI. NON SHRINK GROUTING</t>
  </si>
  <si>
    <t>CON.51</t>
  </si>
  <si>
    <t>DISMANTLING RCC WORK</t>
  </si>
  <si>
    <t>CON.57</t>
  </si>
  <si>
    <t>CORE CUTTING IN EXISTING CONCRETE (300 MM DEPTH)</t>
  </si>
  <si>
    <t>CON.57A</t>
  </si>
  <si>
    <t>50 MM DIA.</t>
  </si>
  <si>
    <t>NO</t>
  </si>
  <si>
    <t>CON.57B</t>
  </si>
  <si>
    <t>75 MM DIA</t>
  </si>
  <si>
    <t>CON.57C</t>
  </si>
  <si>
    <t>100 MM DIA</t>
  </si>
  <si>
    <t>CON.59</t>
  </si>
  <si>
    <t>CUTOUT IN CONCRETE</t>
  </si>
  <si>
    <t>CON.59A</t>
  </si>
  <si>
    <t>UPTO 0.250 M2</t>
  </si>
  <si>
    <t>CON.59B</t>
  </si>
  <si>
    <t>FROM  0.250 M2 TO 0.500 M2</t>
  </si>
  <si>
    <t>CON.59C</t>
  </si>
  <si>
    <t>FROM 0.500 M2 TO 1.0 M2</t>
  </si>
  <si>
    <t>FW</t>
  </si>
  <si>
    <t>FORMWORK</t>
  </si>
  <si>
    <t>FW.1</t>
  </si>
  <si>
    <t>ORDINARY FINISH FOR CONCRETE  WORK</t>
  </si>
  <si>
    <t>FW.1A</t>
  </si>
  <si>
    <t>AT AND BELOW PLINTH</t>
  </si>
  <si>
    <t>FW.1B</t>
  </si>
  <si>
    <t>PLINTH TO 4.5M</t>
  </si>
  <si>
    <t>FW.1C</t>
  </si>
  <si>
    <t>4.5 M TO 9.0 M FROM PLINTH LEVEL</t>
  </si>
  <si>
    <t>FW.4</t>
  </si>
  <si>
    <t>EXTRA OVER FW.1 BUT FOR CIRCULAR SHUTTERING OF ANY RADIUS AND AT ANY HEIGHT (ONLY ADDITIONAL COST FOR CIRCULAR SHUTTERING SHOULD BE CONSIDERED)</t>
  </si>
  <si>
    <t>FW.5</t>
  </si>
  <si>
    <t>EXTRA OVER FW.1 FOR PROVIDING  STAGING OF HEIGHT MORE THAN 4.5M FROM FINISH FLOOR LEVEL (ONLY ADDITIONAL COST FOR STAGING SHOULD BE CONSIDERED)</t>
  </si>
  <si>
    <t>FW.7</t>
  </si>
  <si>
    <t>FORMING POCKET-CUTOUT ETC.</t>
  </si>
  <si>
    <t>FW.7A</t>
  </si>
  <si>
    <t>C. S. AREA (UPTO 100 CM2)</t>
  </si>
  <si>
    <t>M</t>
  </si>
  <si>
    <t>FW.7B</t>
  </si>
  <si>
    <t>C. S. AREA (100-250 CM2)</t>
  </si>
  <si>
    <t>FW.8</t>
  </si>
  <si>
    <t>FILLER BOARD FOR EXPANSION JOINT</t>
  </si>
  <si>
    <t>FW.8A</t>
  </si>
  <si>
    <t>25MM THICK BOARD</t>
  </si>
  <si>
    <t>FW.9</t>
  </si>
  <si>
    <t>SEALENT FOR EXPANSION JOINT</t>
  </si>
  <si>
    <t>FW.9A</t>
  </si>
  <si>
    <t>GROOVE SIZE 25MM X 25MM DEEP</t>
  </si>
  <si>
    <t>RF</t>
  </si>
  <si>
    <t>REINFORCEMENT</t>
  </si>
  <si>
    <t>RF.3</t>
  </si>
  <si>
    <t>HIGH STRENGTH DEFORMED BARS MINIMUM Fe-500D N/MM2</t>
  </si>
  <si>
    <t>STL</t>
  </si>
  <si>
    <t>STRUCTURAL STEEL WORK</t>
  </si>
  <si>
    <t>STL.1</t>
  </si>
  <si>
    <t>STRUCTURAL STEEL WORK INCLUDING ONE COAT ZINC CHROMATE PRIMER AND TWO COATS OF ENAMEL PAINT</t>
  </si>
  <si>
    <t>STL.2</t>
  </si>
  <si>
    <t>STEEL INSERTS</t>
  </si>
  <si>
    <t>KG</t>
  </si>
  <si>
    <t>STL.2C</t>
  </si>
  <si>
    <t>SAME AS ITEM STL.2 BUT USING ANGLES, CHANNELS AND OTHERS</t>
  </si>
  <si>
    <t>STL.3</t>
  </si>
  <si>
    <t>FIXING HOLDING DOWN BOLTS (BOLTS SUPPL BY PEB)</t>
  </si>
  <si>
    <t>STL.3A</t>
  </si>
  <si>
    <t>16MM DIA 450 LONG</t>
  </si>
  <si>
    <t>STL.3B</t>
  </si>
  <si>
    <t>20MM DIA 800 LONG</t>
  </si>
  <si>
    <t>STL.3D</t>
  </si>
  <si>
    <t>25MM DIA 1000 LONG</t>
  </si>
  <si>
    <t>STL.4</t>
  </si>
  <si>
    <t>SUPPLYING AND FIXING DOWN BOLTS WITH SLEEVE</t>
  </si>
  <si>
    <t>STL.8</t>
  </si>
  <si>
    <t>WICKET GATE</t>
  </si>
  <si>
    <t>STL.10</t>
  </si>
  <si>
    <t>AS PER STL.1 BUT WITH TUBULAR SECTION</t>
  </si>
  <si>
    <t>STL.11</t>
  </si>
  <si>
    <t>AS PER STL.1 BUT WITH COLD ROLLED SECTION</t>
  </si>
  <si>
    <t>STL.19</t>
  </si>
  <si>
    <t>M.S.RAILING</t>
  </si>
  <si>
    <t>STL.19B</t>
  </si>
  <si>
    <t>USING SQUARE/RECTANGULAR/ CIRCULAR HOLLOW PIPES</t>
  </si>
  <si>
    <t>STL.20</t>
  </si>
  <si>
    <t>SS RAILING AS PER DESCRIPTION</t>
  </si>
  <si>
    <t>RMT</t>
  </si>
  <si>
    <t>STL.26</t>
  </si>
  <si>
    <t>WALL MOUNTED HAND RAILING</t>
  </si>
  <si>
    <t>STL.37</t>
  </si>
  <si>
    <t>ANCHOR FASTNER BOLT HILTI OR EQUIVALENT</t>
  </si>
  <si>
    <t>STL.37A</t>
  </si>
  <si>
    <t>12MM DIA.</t>
  </si>
  <si>
    <t>STL.37B</t>
  </si>
  <si>
    <t>16MM DIA.</t>
  </si>
  <si>
    <t>STL.37C</t>
  </si>
  <si>
    <t>20MM DIA.</t>
  </si>
  <si>
    <t>STL.38</t>
  </si>
  <si>
    <t>CHEMICAL REBAR HILTI OR EQUIVALENT</t>
  </si>
  <si>
    <t>STL.38B</t>
  </si>
  <si>
    <t>10MM DIA REBAR 14MM DIA HOLE,200MM DEEP</t>
  </si>
  <si>
    <t>STL.38C</t>
  </si>
  <si>
    <t>12MM DIA REBAR 16MM DIA HOLE,240MM DEEP</t>
  </si>
  <si>
    <t>STL.38D</t>
  </si>
  <si>
    <t>16MM DIA REBAR 22MM DIA HOLE,320MM DEEP</t>
  </si>
  <si>
    <t>WAL</t>
  </si>
  <si>
    <t>BRICK MASONRY</t>
  </si>
  <si>
    <t>WAL.1</t>
  </si>
  <si>
    <t>BRICK MASONRY IN 1:6 CEMENT MORTAR</t>
  </si>
  <si>
    <t>WAL.1B</t>
  </si>
  <si>
    <t>WAL.1C</t>
  </si>
  <si>
    <t>AT 4.5M TO 9.0M HEIGHT ABOVE PLINTH</t>
  </si>
  <si>
    <t>WAL.2</t>
  </si>
  <si>
    <t>SAME AS ITEM WAL.1 FOR 1:4 CEMENT MORTAR BRICK MASONRY</t>
  </si>
  <si>
    <t>WAL.2A</t>
  </si>
  <si>
    <t xml:space="preserve">WAL.13 </t>
  </si>
  <si>
    <t>AUTOCLAVED AERATED CONCRETE BLOCK MASONARY</t>
  </si>
  <si>
    <t>WAL.13B</t>
  </si>
  <si>
    <t>WAL.13C</t>
  </si>
  <si>
    <t>WAL.13F</t>
  </si>
  <si>
    <t>HALF PARTATION WALL AERATED BLOCK</t>
  </si>
  <si>
    <t>WAL.51</t>
  </si>
  <si>
    <t>DISMANTLING BRICK WORK</t>
  </si>
  <si>
    <t>WAL.52</t>
  </si>
  <si>
    <t>CUTOUT IN MASONRY WORK</t>
  </si>
  <si>
    <t>WAL.52A</t>
  </si>
  <si>
    <t>WAL.52B</t>
  </si>
  <si>
    <t>FROM 0.250 TO 0.500 M2</t>
  </si>
  <si>
    <t>WAL.52C</t>
  </si>
  <si>
    <t>FROM 0.500 TO 1.0 M2</t>
  </si>
  <si>
    <t>WPR</t>
  </si>
  <si>
    <t>WATER PROOFING</t>
  </si>
  <si>
    <t>WPR.4</t>
  </si>
  <si>
    <t>BRICKBAT COBA WATER PROOFING FOR HORI-VERT AND RETURNS FOR TERRACE</t>
  </si>
  <si>
    <t>WPR.6</t>
  </si>
  <si>
    <t>CHEMICAL WATER PROOFING FOR  SLOPING / FLAT TERRACE</t>
  </si>
  <si>
    <t>WPR.11</t>
  </si>
  <si>
    <t>INTEGRAL PENETRATING CRYSTALLINE WATERPROOFING</t>
  </si>
  <si>
    <t>WPR.11A</t>
  </si>
  <si>
    <t xml:space="preserve">AS PER WPR.11 BUT ON RAFT </t>
  </si>
  <si>
    <t>WPR.11B</t>
  </si>
  <si>
    <t>AS PER WPR.11 BUT ON WALLS</t>
  </si>
  <si>
    <t>FLR</t>
  </si>
  <si>
    <t>FLOORING</t>
  </si>
  <si>
    <t>FLR.2</t>
  </si>
  <si>
    <t>POLISHED KOTAH STONE FLOORING</t>
  </si>
  <si>
    <t>FLR.2A</t>
  </si>
  <si>
    <t>20 MM THICK</t>
  </si>
  <si>
    <t>FLR.3</t>
  </si>
  <si>
    <t>75 HIGH POLISHED KOTAH STONE SKIRTING</t>
  </si>
  <si>
    <t>FLR.4</t>
  </si>
  <si>
    <t>EXTRA OVER   FLR.2, FLR.3, FLR.5  WITH EPOXY JOINT</t>
  </si>
  <si>
    <t>FLR.4A</t>
  </si>
  <si>
    <t>FOR 4MM X 8MM SIZE</t>
  </si>
  <si>
    <t>FLR.4B</t>
  </si>
  <si>
    <t>FOR 8MM X 8MM SIZE</t>
  </si>
  <si>
    <t>FLR.5</t>
  </si>
  <si>
    <t>POLISHED KOTAH STONE FOR STEPS, RISERS , LANDING OF STAIRCASE , THRESHOLD, JAMBS, PARAPET WALL TOP , WINDOW SILLS</t>
  </si>
  <si>
    <t>FLR.7</t>
  </si>
  <si>
    <t>SAME AS FLR.5 BUT USING APPROVED QUALITY GRANITE OF 18MM – 20MM THICKNESS</t>
  </si>
  <si>
    <t>FLR.8</t>
  </si>
  <si>
    <t>SAME AS FLR.6 BUT USING APPROVED QUALITY GRANITE OF 18MM – 20MM THICKNESS</t>
  </si>
  <si>
    <t>FLR.20</t>
  </si>
  <si>
    <t>EXTRA OVER FLR.2 FOR RIVER WASH FINISH (ONLY ADDITIONAL COST OF RIVER WASH FINISH SHOULD BE CONSIDERED)</t>
  </si>
  <si>
    <t>FLR.35</t>
  </si>
  <si>
    <t>IMMEDIATE FINISH ON CONCRETE SURFACE.</t>
  </si>
  <si>
    <t>FLR.41</t>
  </si>
  <si>
    <t>NON METALIC FLOOR HARDNER (NITOFLOR)</t>
  </si>
  <si>
    <t>FLR.78</t>
  </si>
  <si>
    <t>BROKEN CHINA MOSAIC FLOORING</t>
  </si>
  <si>
    <t>RCF</t>
  </si>
  <si>
    <t>ROOFING AND CLADDING</t>
  </si>
  <si>
    <t>RCF.1</t>
  </si>
  <si>
    <t>GALVALUME SHEET  FOR ROOFING &amp; CLADDING.</t>
  </si>
  <si>
    <t>RCF.1A</t>
  </si>
  <si>
    <t xml:space="preserve">SAME AS RCF.1 USING BARE GALVALUME HI-RIB PROFILE SHEET OF 0.55 MM THICKNESS </t>
  </si>
  <si>
    <t>RCF.2</t>
  </si>
  <si>
    <t>SAME AS RCF.1 BUT IN FLASHINGS, CORNER PIECES, TRIMS, ETC.</t>
  </si>
  <si>
    <t>RCF.2A</t>
  </si>
  <si>
    <t>RCF.2 BUT USING BARE GALVALUME SHEETS</t>
  </si>
  <si>
    <t>RCF.29</t>
  </si>
  <si>
    <t>PVC RAIN WATER PIPES</t>
  </si>
  <si>
    <t>RCF.29A</t>
  </si>
  <si>
    <t>110 DIA PIPES</t>
  </si>
  <si>
    <t>RCF.29C</t>
  </si>
  <si>
    <t>160 DIA PIPES</t>
  </si>
  <si>
    <t>RCF.44</t>
  </si>
  <si>
    <t>GYPSUM BOARD FALSE CEILING</t>
  </si>
  <si>
    <t>RCF.44A</t>
  </si>
  <si>
    <t>AS PER RCF.44 BUT WITH SINGLE 12MM THICK GYPSUM BOARD</t>
  </si>
  <si>
    <t>RCF.49</t>
  </si>
  <si>
    <t>PROVIDING &amp; FIXING OF ARMSTRONG MINERAL FIBRE ACOUSTICAL SUSPENDED CEILING SYSTEM WITH DUNE SUPREME BEVELED TEGULAR EDGE TILES WITH ARMSTRONG SUPRAFINE 15MM EXPOSED GRID</t>
  </si>
  <si>
    <t>DW</t>
  </si>
  <si>
    <t>DOORS &amp; WINDOWS</t>
  </si>
  <si>
    <t>DW.10</t>
  </si>
  <si>
    <t>ALUMINIUM WINDOW - OPENABLE / SLIDING</t>
  </si>
  <si>
    <t>DW.10A</t>
  </si>
  <si>
    <t>SAME AS DW.10 BUT UPTO 2KG/M2 OF OPENING AREA</t>
  </si>
  <si>
    <t>DW.11</t>
  </si>
  <si>
    <t>ALUMINIUM WINDOW - FIXED TYPE</t>
  </si>
  <si>
    <t>DW.11A</t>
  </si>
  <si>
    <t>SAME AS DW.11 BUT WITH TOUGHN GLASS OF 6 MM THICK</t>
  </si>
  <si>
    <t>DW.12</t>
  </si>
  <si>
    <t xml:space="preserve">ALUMINIUM FIXED LOUVERS WITH ALUMINIUM FRAME </t>
  </si>
  <si>
    <t>DW.12A</t>
  </si>
  <si>
    <t>SAME AS DW.12 BUT WITH 4 KG/M2</t>
  </si>
  <si>
    <t>DW.18</t>
  </si>
  <si>
    <t>EXTRA OVER ITEM NO.DW.1 TO DW.5 AND DW.10 TO DW.17 FOR INCREASE IN WEIGHT OF ALUMINIUM FRAMING PER M2 (ONLY ADDITIONAL COST FOR INCREASE IN  WEIGHT OF ALUM. SECTIONS SHOULD BE CONSIDERED)</t>
  </si>
  <si>
    <t>DW.54</t>
  </si>
  <si>
    <t>HOLLOW METAL STEEL DOORS</t>
  </si>
  <si>
    <t>DW.54A</t>
  </si>
  <si>
    <t>SINGLE LEAF DOOR</t>
  </si>
  <si>
    <t>DW.55</t>
  </si>
  <si>
    <t>HOLLOW METAL FIRE RESISTANT DOOR (TWO HOUR FIRE RESISTANCE)</t>
  </si>
  <si>
    <t>DW.55A</t>
  </si>
  <si>
    <t>DW.55B</t>
  </si>
  <si>
    <t>DOUBLE LEAF DOOR</t>
  </si>
  <si>
    <t>DW.78</t>
  </si>
  <si>
    <t>SAME AS DW.72 BUT MOTORISED PRE COLOR COATED GALVANIZED ROLLING SHUTTER WITHOUT PERFORATED</t>
  </si>
  <si>
    <t>PL</t>
  </si>
  <si>
    <t>PLASTERING</t>
  </si>
  <si>
    <t>PL.3</t>
  </si>
  <si>
    <t>20MM THK DOUBLE COAT MALA PLASTER</t>
  </si>
  <si>
    <t>PL.4</t>
  </si>
  <si>
    <t>SINGLE COAT MALA PLASTER</t>
  </si>
  <si>
    <t>PL.5</t>
  </si>
  <si>
    <t>20MM WATER PROOF PLASTER</t>
  </si>
  <si>
    <t>PNT</t>
  </si>
  <si>
    <t>PAINTING</t>
  </si>
  <si>
    <t>PNT.4</t>
  </si>
  <si>
    <t xml:space="preserve">THREE COATS OF FLAT ENAMEL PAINT I.C.I. OR  ASIAN MAKE  </t>
  </si>
  <si>
    <t>PNT.5</t>
  </si>
  <si>
    <t>THREE COATS OF ACRYLIC BASED EXTERIOR PAINT "APEX - ULTIMA PROTEK DURALIFE" OR EQUIVALENT</t>
  </si>
  <si>
    <t>RD</t>
  </si>
  <si>
    <t>ROAD WORK</t>
  </si>
  <si>
    <t>RD.5</t>
  </si>
  <si>
    <t>GRANULAR SUB BASE IN SUBGRADE - I</t>
  </si>
  <si>
    <t>RD.6</t>
  </si>
  <si>
    <t>WET MIX MACADAM</t>
  </si>
  <si>
    <t>RD.12</t>
  </si>
  <si>
    <t>WATER PROOF PAPER BELOW CONCRETE PAVEMENT (250 MICRON THK POLYTHENE SHEET)</t>
  </si>
  <si>
    <t>RD.14</t>
  </si>
  <si>
    <t>5MM WIDE &amp; 50 MM DEEP DUMMY JOINT BY MECHENICAL MEANS</t>
  </si>
  <si>
    <t>RD.14A</t>
  </si>
  <si>
    <t>8MM WIDE &amp; 50 MM DEEP DUMMY JOINT BY MECHENICAL MEANS</t>
  </si>
  <si>
    <t>RD.19</t>
  </si>
  <si>
    <t>POLYSULFIDE SEALENT</t>
  </si>
  <si>
    <t>RD.19A</t>
  </si>
  <si>
    <t>FOR 5MM WIDE &amp; 25MM DEEP</t>
  </si>
  <si>
    <t>RD.19C</t>
  </si>
  <si>
    <t xml:space="preserve">FOR 8MM WIDE &amp; 25MM DEEP </t>
  </si>
  <si>
    <t>RD.40</t>
  </si>
  <si>
    <t xml:space="preserve">G. I. CHAIN LINK FENCING </t>
  </si>
  <si>
    <t>MIS</t>
  </si>
  <si>
    <t>MISCELLANEOUS</t>
  </si>
  <si>
    <t>MIS.7</t>
  </si>
  <si>
    <t>BOOM BARRIER</t>
  </si>
  <si>
    <t>MIS.10</t>
  </si>
  <si>
    <t>FRP GRATINGS :1-1/2" THICK GRATING BY SINTEX OR AMROCK</t>
  </si>
  <si>
    <t>MIS.18</t>
  </si>
  <si>
    <t>50MM THICK BITUMEN SAND 1:5 ON  PREPARED BASE</t>
  </si>
  <si>
    <t>MIS.30</t>
  </si>
  <si>
    <t>SUPPLYING AND FIXING OF PVC, RIGID, UNPLASTICISED CONDUITS OF NIHIR/MIHIR/PRECISION OR OTHER APPROVED EQUIVALENT MAKE IN RCC Slab/ RCC Wall / BRICK WALL AT ANY HEIGHT.</t>
  </si>
  <si>
    <t>MIS.30A</t>
  </si>
  <si>
    <t>SAME AS MIS.30 BUT 20 MM DIA. CONDUIT WITH 2 MM WALL THICKNESS - AT RCC WALL / RCC SLAB (CONDUIT PLACED BEFORE CONCRETING)</t>
  </si>
  <si>
    <t>MIS.30B</t>
  </si>
  <si>
    <t>SAME AS MIS.30 BUT 25 MM DIA. CONDUIT WITH 2.5 MM WALL THICKNESS - AT RCC WALL / RCC SLAB (CONDUIT PLACED BEFORE CONCRETING)</t>
  </si>
  <si>
    <t>MIS.30C</t>
  </si>
  <si>
    <t>SAME AS MIS.30 BUT 32 MM DIA. CONDUIT WITH 3 MM WALL THICKNESS - AT RCC WALL / RCC SLAB (CONDUIT PLACED BEFORE CONCRETING)</t>
  </si>
  <si>
    <t>MIS.30D</t>
  </si>
  <si>
    <t>SAME AS MIS.30 BUT 20 MM DIA. CONDUIT WITH 2 MM WALL THICKNESS - BUT AT BRICK WALL (CONDUIT LAID AFTER BRICK WALL CONSTRUCTION)</t>
  </si>
  <si>
    <t>MIS.30E</t>
  </si>
  <si>
    <t>SAME AS MIS.30 BUT 25 MM DIA. CONDUIT WITH 2.5 MM WALL THICKNESS - BUT AT BRICK WALL (CONDUIT LAID AFTER BRICK WALL CONSTRUCTION)</t>
  </si>
  <si>
    <t>MIS.30F</t>
  </si>
  <si>
    <t>SAME AS MIS.30 BUT 32 MM DIA. CONDUIT WITH 3 MM WALL THICKNESS - BUT AT BRICK WALL (CONDUIT LAID AFTER BRICK WALL CONSTRUCTION)</t>
  </si>
  <si>
    <t>MIS.31</t>
  </si>
  <si>
    <t>SUPPLY AND FIXING OF 2 MM THICK MODULAR GI BOX HAVING MINIMUM 60/75 MM DEPTH.</t>
  </si>
  <si>
    <t>MIS.31A</t>
  </si>
  <si>
    <t>SAME AS 31 BUT FOR 2 MODULE</t>
  </si>
  <si>
    <t>MIS.31B</t>
  </si>
  <si>
    <t>SAME AS 31 BUT FOR 3/4 MODULE</t>
  </si>
  <si>
    <t>MIS.31C</t>
  </si>
  <si>
    <t>SAME AS 31 BUT FOR 6 MODULE</t>
  </si>
  <si>
    <t>MIS.31D</t>
  </si>
  <si>
    <t>SAME AS 31 BUT FOR 8 MODULE</t>
  </si>
  <si>
    <t>MIS.31E</t>
  </si>
  <si>
    <t>SAME AS 31 BUT FOR 12 MODULE</t>
  </si>
  <si>
    <t>Basic Total (Rs.)</t>
  </si>
  <si>
    <t>GST 18%</t>
  </si>
  <si>
    <t>Gr. Total (Rs.)</t>
  </si>
  <si>
    <t>Qty</t>
  </si>
  <si>
    <t>PO  Price</t>
  </si>
  <si>
    <t>PO Total (Rs.)</t>
  </si>
  <si>
    <t>RA-01</t>
  </si>
  <si>
    <t>P7a/P8a</t>
  </si>
  <si>
    <t>Plinth Beam</t>
  </si>
  <si>
    <t>Top Bar</t>
  </si>
  <si>
    <t>Bottom Bar</t>
  </si>
  <si>
    <t>PB1</t>
  </si>
  <si>
    <t>PB2</t>
  </si>
  <si>
    <t>Extra</t>
  </si>
  <si>
    <t>PB3</t>
  </si>
  <si>
    <t>PB4</t>
  </si>
  <si>
    <t>Bottom &amp; Top Bar</t>
  </si>
  <si>
    <t>PB5</t>
  </si>
  <si>
    <t>Stub Columns</t>
  </si>
  <si>
    <t>Pedastals</t>
  </si>
  <si>
    <t>Footings</t>
  </si>
  <si>
    <t>No.of sides</t>
  </si>
  <si>
    <t>FOOTING STEEL</t>
  </si>
  <si>
    <t>Description</t>
  </si>
  <si>
    <t>Direction</t>
  </si>
  <si>
    <t>Size</t>
  </si>
  <si>
    <t>Dia</t>
  </si>
  <si>
    <t>Spacing</t>
  </si>
  <si>
    <t>No.of Bars</t>
  </si>
  <si>
    <t>Cutting Length</t>
  </si>
  <si>
    <t>Total C.L</t>
  </si>
  <si>
    <t>Unit Wt</t>
  </si>
  <si>
    <t>Total Wt</t>
  </si>
  <si>
    <t>Bottom Mat</t>
  </si>
  <si>
    <t>X-axis</t>
  </si>
  <si>
    <t>2.8*3.2</t>
  </si>
  <si>
    <t>Y-axis</t>
  </si>
  <si>
    <t>Top mat</t>
  </si>
  <si>
    <t>3.4*4</t>
  </si>
  <si>
    <t>1.2*1.2</t>
  </si>
  <si>
    <t>1.9*1.9</t>
  </si>
  <si>
    <t>2.9*2.55</t>
  </si>
  <si>
    <t>2.9*2.550</t>
  </si>
  <si>
    <t>2*3.2</t>
  </si>
  <si>
    <t>Shear Keys</t>
  </si>
  <si>
    <t>27*4.1</t>
  </si>
  <si>
    <t>Chair</t>
  </si>
  <si>
    <t>PEDASTAL VERTICAL STEEL</t>
  </si>
  <si>
    <t>0.5*0.9</t>
  </si>
  <si>
    <t>0.55*0.55</t>
  </si>
  <si>
    <t>0.65*0.65</t>
  </si>
  <si>
    <t>0.8*0.8</t>
  </si>
  <si>
    <t>0.6*1.0</t>
  </si>
  <si>
    <t>0.45*0.45</t>
  </si>
  <si>
    <t>3.4*3.8</t>
  </si>
  <si>
    <t>PEDASTAL STIRRUPS STEEL</t>
  </si>
  <si>
    <t>PLINTH BEAM STEEL</t>
  </si>
  <si>
    <t>Grid (A-K)&amp;(1) PB1</t>
  </si>
  <si>
    <t>0.3*0.6</t>
  </si>
  <si>
    <t>Shear Left</t>
  </si>
  <si>
    <t>Shear Mid</t>
  </si>
  <si>
    <t>Shear Right</t>
  </si>
  <si>
    <t>Grid (A-K) &amp;(4) PB2</t>
  </si>
  <si>
    <t>Grid (B-J)&amp; (2&amp;3) PB3</t>
  </si>
  <si>
    <t>Shear Left 1</t>
  </si>
  <si>
    <t>Shear Mid 1</t>
  </si>
  <si>
    <t>Shear Right 1</t>
  </si>
  <si>
    <t>Shear Left 2</t>
  </si>
  <si>
    <t>Shear Mid 2</t>
  </si>
  <si>
    <t>Shear Right 2</t>
  </si>
  <si>
    <t>Shear Left 3</t>
  </si>
  <si>
    <t>Shear Mid 3</t>
  </si>
  <si>
    <t>Shear Right 3</t>
  </si>
  <si>
    <t>Shear Left 4</t>
  </si>
  <si>
    <t>Shear Mid 4</t>
  </si>
  <si>
    <t>Shear Right 4</t>
  </si>
  <si>
    <t>Shear Left 5</t>
  </si>
  <si>
    <t>Shear Mid 5</t>
  </si>
  <si>
    <t>Shear Right 5</t>
  </si>
  <si>
    <t>Grid(B,C&amp;J)&amp; (2&amp;3) PB3</t>
  </si>
  <si>
    <t>Grid( G-H)  PB3</t>
  </si>
  <si>
    <t>Grid(H-J) PB3</t>
  </si>
  <si>
    <t>Grid (J)&amp; (1-2) PB3</t>
  </si>
  <si>
    <t>Grid(A&amp;K)&amp;(1-4) PB4</t>
  </si>
  <si>
    <t>0.45*0.75</t>
  </si>
  <si>
    <t>Grid(G) &amp;(1-2)PB5</t>
  </si>
  <si>
    <t>0.23*0.23</t>
  </si>
  <si>
    <t>CON.3B,CON.5A: PLINTH RCC QUANTITY M25</t>
  </si>
  <si>
    <t>TOTAL WT MT</t>
  </si>
  <si>
    <t>CON.3A,CON.5A: FOOTING RCC QUANTITY M25</t>
  </si>
  <si>
    <t>EXC1A : FOOTINGS EXCAVATION QUANTITY FOR DEPTH 0 M TO 1.5 M</t>
  </si>
  <si>
    <t xml:space="preserve"> EXC.1B: FOOTINGS EXCAVATION QUANTITY FOR DEPTH 1.5M TO 3M</t>
  </si>
  <si>
    <t xml:space="preserve">FW.1A: FOOTING SHUTTERING QUANTITY BELOW PLINTH </t>
  </si>
  <si>
    <t>FW.1B: FOOTING SHUTTERING QUANTITY PLINTH TO 4.5 M</t>
  </si>
  <si>
    <t>FROM</t>
  </si>
  <si>
    <t>TO</t>
  </si>
  <si>
    <r>
      <t xml:space="preserve">                                                                                                                    PO No:</t>
    </r>
    <r>
      <rPr>
        <sz val="11"/>
        <color theme="1"/>
        <rFont val="Calibri"/>
        <family val="2"/>
        <scheme val="minor"/>
      </rPr>
      <t xml:space="preserve"> </t>
    </r>
    <r>
      <rPr>
        <b/>
        <sz val="11"/>
        <color theme="1"/>
        <rFont val="Times New Roman"/>
        <family val="1"/>
      </rPr>
      <t>TG/CAPEX/2025-26/10</t>
    </r>
  </si>
  <si>
    <r>
      <rPr>
        <b/>
        <sz val="10"/>
        <color theme="1"/>
        <rFont val="Calibri "/>
      </rPr>
      <t>RECOMAX ENGINEERING PVT LTD</t>
    </r>
    <r>
      <rPr>
        <sz val="10"/>
        <color theme="1"/>
        <rFont val="Calibri "/>
      </rPr>
      <t xml:space="preserve">
Plot No.257, Flat No.201, Vivekananda Nagar Colony, Kukatpally, Hyderabad
GSTIN/UIN: 36AAJCR4002K1ZE
State Name : Telangana, Code : 36</t>
    </r>
  </si>
  <si>
    <r>
      <rPr>
        <b/>
        <sz val="10"/>
        <color theme="1"/>
        <rFont val="Calibri "/>
      </rPr>
      <t>GODREJ  AGROVET LIMITED,   PO No: 6700010232</t>
    </r>
    <r>
      <rPr>
        <sz val="10"/>
        <color theme="1"/>
        <rFont val="Calibri "/>
      </rPr>
      <t xml:space="preserve">
Building No./Flat No.:4-29/2                                                                                               Road/Street:R.Sy.No:381/2/2                                                                                                                                        Locality/Sub Locality: Konijerla Mandal                                                                                                                        City/Town/Village:Gubbagurthy                                                                                                                                                               District: Khammam                                       
State Name	:Telangana,                                                                                                                                                Pin Code :507165                                                                                                                                                 GSTIN/UIN : 36AAACG0617Q1ZH</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</si>
</sst>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_(* #,##0.00_);_(* \(#,##0.00\);_(* &quot;-&quot;??_);_(@_)"/>
    <numFmt numFmtId="165" formatCode="0.0"/>
    <numFmt numFmtId="166" formatCode="0.000"/>
    <numFmt numFmtId="167" formatCode="_ * #,##0_ ;_ * \-#,##0_ ;_ * &quot;-&quot;??_ ;_ @_ "/>
  </numFmts>
  <fonts count="97">
    <font>
      <sz val="11"/>
      <color theme="1"/>
      <name val="Calibri"/>
      <family val="2"/>
      <scheme val="minor"/>
    </font>
    <font>
      <b/>
      <sz val="11"/>
      <color theme="1"/>
      <name val="Calibri"/>
      <family val="2"/>
      <scheme val="minor"/>
    </font>
    <font>
      <b/>
      <sz val="12"/>
      <color theme="1"/>
      <name val="Calibri"/>
      <family val="2"/>
      <scheme val="minor"/>
    </font>
    <font>
      <b/>
      <sz val="12"/>
      <color rgb="FF000000"/>
      <name val="Calibri"/>
      <family val="2"/>
      <scheme val="minor"/>
    </font>
    <font>
      <sz val="10"/>
      <color rgb="FF000000"/>
      <name val="Times New Roman"/>
      <family val="1"/>
    </font>
    <font>
      <b/>
      <sz val="11"/>
      <color rgb="FF000000"/>
      <name val="Calibri"/>
      <family val="2"/>
    </font>
    <font>
      <b/>
      <sz val="11"/>
      <color rgb="FF000000"/>
      <name val="Calibri"/>
      <family val="2"/>
      <scheme val="minor"/>
    </font>
    <font>
      <b/>
      <sz val="12"/>
      <color rgb="FF000000"/>
      <name val="Calibri"/>
      <family val="2"/>
    </font>
    <font>
      <b/>
      <sz val="14"/>
      <color theme="1"/>
      <name val="Calibri"/>
      <family val="2"/>
      <scheme val="minor"/>
    </font>
    <font>
      <sz val="10"/>
      <name val="Arial"/>
      <family val="2"/>
    </font>
    <font>
      <sz val="11"/>
      <name val="Times New Roman"/>
      <family val="1"/>
    </font>
    <font>
      <b/>
      <sz val="11"/>
      <name val="Times New Roman"/>
      <family val="1"/>
    </font>
    <font>
      <sz val="11"/>
      <color theme="1"/>
      <name val="Times New Roman"/>
      <family val="1"/>
    </font>
    <font>
      <b/>
      <sz val="11"/>
      <color theme="1"/>
      <name val="Times New Roman"/>
      <family val="1"/>
    </font>
    <font>
      <sz val="8"/>
      <name val="Calibri"/>
      <family val="2"/>
      <scheme val="minor"/>
    </font>
    <font>
      <sz val="11"/>
      <color theme="1"/>
      <name val="Calibri"/>
      <family val="2"/>
      <scheme val="minor"/>
    </font>
    <font>
      <b/>
      <sz val="10"/>
      <color theme="1"/>
      <name val="Calibri"/>
      <family val="2"/>
      <scheme val="minor"/>
    </font>
    <font>
      <sz val="10.5"/>
      <color rgb="FF131313"/>
      <name val="Calibri"/>
      <family val="2"/>
    </font>
    <font>
      <sz val="9.5"/>
      <color rgb="FF1D1D1D"/>
      <name val="Calibri"/>
      <family val="2"/>
    </font>
    <font>
      <sz val="10.5"/>
      <color rgb="FF000000"/>
      <name val="Calibri"/>
      <family val="2"/>
    </font>
    <font>
      <sz val="10.5"/>
      <color rgb="FF1A1A1A"/>
      <name val="Calibri"/>
      <family val="2"/>
    </font>
    <font>
      <sz val="10"/>
      <color rgb="FF161616"/>
      <name val="Calibri"/>
      <family val="2"/>
    </font>
    <font>
      <sz val="9.5"/>
      <color rgb="FF000000"/>
      <name val="Calibri"/>
      <family val="2"/>
    </font>
    <font>
      <sz val="10.5"/>
      <name val="Calibri"/>
      <family val="2"/>
    </font>
    <font>
      <sz val="10"/>
      <color rgb="FF1A1A1A"/>
      <name val="Cambria"/>
      <family val="2"/>
    </font>
    <font>
      <sz val="10.5"/>
      <color rgb="FF0C0C0C"/>
      <name val="Calibri"/>
      <family val="2"/>
    </font>
    <font>
      <sz val="10.5"/>
      <color rgb="FF181818"/>
      <name val="Cambria"/>
      <family val="2"/>
    </font>
    <font>
      <sz val="10.5"/>
      <color rgb="FF000000"/>
      <name val="Cambria"/>
      <family val="2"/>
    </font>
    <font>
      <sz val="10.5"/>
      <color rgb="FF0F0F0F"/>
      <name val="Cambria"/>
      <family val="2"/>
    </font>
    <font>
      <sz val="10.5"/>
      <color rgb="FF131313"/>
      <name val="Cambria"/>
      <family val="2"/>
    </font>
    <font>
      <sz val="10.5"/>
      <name val="Cambria"/>
      <family val="1"/>
    </font>
    <font>
      <sz val="10.5"/>
      <color rgb="FF0F0F0F"/>
      <name val="Calibri"/>
      <family val="2"/>
    </font>
    <font>
      <sz val="11"/>
      <color rgb="FF161616"/>
      <name val="Calibri"/>
      <family val="2"/>
    </font>
    <font>
      <sz val="11"/>
      <name val="Calibri"/>
      <family val="2"/>
    </font>
    <font>
      <sz val="11"/>
      <color rgb="FF181818"/>
      <name val="Calibri"/>
      <family val="2"/>
    </font>
    <font>
      <sz val="11"/>
      <color rgb="FF131313"/>
      <name val="Calibri"/>
      <family val="2"/>
    </font>
    <font>
      <sz val="11"/>
      <color rgb="FF151515"/>
      <name val="Calibri"/>
      <family val="2"/>
    </font>
    <font>
      <sz val="11"/>
      <color rgb="FF111111"/>
      <name val="Calibri"/>
      <family val="2"/>
    </font>
    <font>
      <sz val="11"/>
      <color rgb="FF000000"/>
      <name val="Calibri"/>
      <family val="2"/>
    </font>
    <font>
      <sz val="11"/>
      <color rgb="FF212121"/>
      <name val="Calibri"/>
      <family val="2"/>
    </font>
    <font>
      <sz val="11"/>
      <color rgb="FF1A1A1A"/>
      <name val="Calibri"/>
      <family val="2"/>
    </font>
    <font>
      <sz val="11"/>
      <color rgb="FF161616"/>
      <name val="Cambria"/>
      <family val="2"/>
    </font>
    <font>
      <sz val="11"/>
      <color rgb="FF111111"/>
      <name val="Cambria"/>
      <family val="2"/>
    </font>
    <font>
      <sz val="11"/>
      <color rgb="FF000000"/>
      <name val="Cambria"/>
      <family val="2"/>
    </font>
    <font>
      <sz val="11"/>
      <color rgb="FF1A1A1A"/>
      <name val="Arial MT"/>
      <family val="2"/>
    </font>
    <font>
      <sz val="11"/>
      <color rgb="FF000000"/>
      <name val="Arial MT"/>
      <family val="2"/>
    </font>
    <font>
      <sz val="11"/>
      <color rgb="FF0F0F0F"/>
      <name val="Calibri"/>
      <family val="2"/>
    </font>
    <font>
      <sz val="11"/>
      <color rgb="FF0C0C0C"/>
      <name val="Cambria"/>
      <family val="2"/>
    </font>
    <font>
      <sz val="11"/>
      <color rgb="FF0F0F0F"/>
      <name val="Cambria"/>
      <family val="2"/>
    </font>
    <font>
      <sz val="11"/>
      <color rgb="FF1F1F1F"/>
      <name val="Calibri"/>
      <family val="2"/>
    </font>
    <font>
      <sz val="11"/>
      <color rgb="FF1C1C1C"/>
      <name val="Calibri"/>
      <family val="2"/>
    </font>
    <font>
      <sz val="11"/>
      <color rgb="FF000000"/>
      <name val="Consolas"/>
      <family val="2"/>
    </font>
    <font>
      <sz val="11"/>
      <color rgb="FF111111"/>
      <name val="Courier New"/>
      <family val="2"/>
    </font>
    <font>
      <sz val="11"/>
      <color rgb="FF181818"/>
      <name val="Cambria"/>
      <family val="2"/>
    </font>
    <font>
      <sz val="11"/>
      <color rgb="FF0C0C0C"/>
      <name val="Calibri"/>
      <family val="2"/>
    </font>
    <font>
      <sz val="11"/>
      <color rgb="FF1D1D1D"/>
      <name val="Consolas"/>
      <family val="2"/>
    </font>
    <font>
      <sz val="11.5"/>
      <color rgb="FF181818"/>
      <name val="Courier New"/>
      <family val="2"/>
    </font>
    <font>
      <sz val="10"/>
      <color rgb="FF1A1A1A"/>
      <name val="Calibri"/>
      <family val="2"/>
    </font>
    <font>
      <sz val="10.5"/>
      <color rgb="FF000000"/>
      <name val="Courier New"/>
      <family val="2"/>
    </font>
    <font>
      <sz val="11"/>
      <color rgb="FF131313"/>
      <name val="Times New Roman"/>
      <family val="2"/>
    </font>
    <font>
      <sz val="11"/>
      <color rgb="FF0E0E0E"/>
      <name val="Times New Roman"/>
      <family val="2"/>
    </font>
    <font>
      <sz val="11"/>
      <color rgb="FF000000"/>
      <name val="Times New Roman"/>
      <family val="2"/>
    </font>
    <font>
      <b/>
      <sz val="11"/>
      <color rgb="FF000000"/>
      <name val="Times New Roman"/>
      <family val="1"/>
    </font>
    <font>
      <b/>
      <sz val="9"/>
      <color rgb="FF000000"/>
      <name val="Calibri"/>
      <family val="2"/>
      <scheme val="minor"/>
    </font>
    <font>
      <sz val="12"/>
      <name val="Calibri"/>
      <family val="2"/>
      <scheme val="minor"/>
    </font>
    <font>
      <sz val="11"/>
      <color rgb="FF000000"/>
      <name val="Times New Roman"/>
      <family val="1"/>
    </font>
    <font>
      <b/>
      <sz val="16"/>
      <color theme="1"/>
      <name val="Calibri"/>
      <family val="2"/>
      <scheme val="minor"/>
    </font>
    <font>
      <sz val="11"/>
      <name val="Calibri"/>
      <family val="2"/>
      <scheme val="minor"/>
    </font>
    <font>
      <b/>
      <sz val="10"/>
      <color rgb="FF000000"/>
      <name val="Times New Roman"/>
      <family val="1"/>
    </font>
    <font>
      <b/>
      <sz val="8"/>
      <color rgb="FF000000"/>
      <name val="Times New Roman"/>
      <family val="1"/>
    </font>
    <font>
      <b/>
      <sz val="10.5"/>
      <color rgb="FF131313"/>
      <name val="Calibri"/>
      <family val="2"/>
    </font>
    <font>
      <b/>
      <sz val="9.5"/>
      <color rgb="FF1D1D1D"/>
      <name val="Calibri"/>
      <family val="2"/>
    </font>
    <font>
      <b/>
      <sz val="10.5"/>
      <color rgb="FF131313"/>
      <name val="Courier New"/>
      <family val="2"/>
    </font>
    <font>
      <b/>
      <sz val="10.5"/>
      <color rgb="FF000000"/>
      <name val="Calibri"/>
      <family val="2"/>
    </font>
    <font>
      <b/>
      <sz val="10.5"/>
      <color rgb="FF1A1A1A"/>
      <name val="Calibri"/>
      <family val="2"/>
    </font>
    <font>
      <b/>
      <sz val="10"/>
      <color rgb="FF161616"/>
      <name val="Calibri"/>
      <family val="2"/>
    </font>
    <font>
      <b/>
      <sz val="9.5"/>
      <color rgb="FF000000"/>
      <name val="Calibri"/>
      <family val="2"/>
    </font>
    <font>
      <b/>
      <sz val="10.5"/>
      <name val="Calibri"/>
      <family val="2"/>
    </font>
    <font>
      <b/>
      <sz val="10"/>
      <color rgb="FF1A1A1A"/>
      <name val="Cambria"/>
      <family val="2"/>
    </font>
    <font>
      <b/>
      <sz val="10.5"/>
      <color rgb="FF0C0C0C"/>
      <name val="Calibri"/>
      <family val="2"/>
    </font>
    <font>
      <b/>
      <sz val="10.5"/>
      <color rgb="FF181818"/>
      <name val="Cambria"/>
      <family val="2"/>
    </font>
    <font>
      <b/>
      <sz val="10.5"/>
      <color rgb="FF000000"/>
      <name val="Cambria"/>
      <family val="2"/>
    </font>
    <font>
      <b/>
      <sz val="10.5"/>
      <color rgb="FF0F0F0F"/>
      <name val="Cambria"/>
      <family val="2"/>
    </font>
    <font>
      <b/>
      <sz val="10.5"/>
      <color rgb="FF131313"/>
      <name val="Cambria"/>
      <family val="2"/>
    </font>
    <font>
      <b/>
      <sz val="10.5"/>
      <name val="Cambria"/>
      <family val="1"/>
    </font>
    <font>
      <b/>
      <sz val="10.5"/>
      <color rgb="FF0F0F0F"/>
      <name val="Calibri"/>
      <family val="2"/>
    </font>
    <font>
      <b/>
      <sz val="11"/>
      <color rgb="FF161616"/>
      <name val="Calibri"/>
      <family val="2"/>
    </font>
    <font>
      <b/>
      <sz val="11"/>
      <name val="Calibri"/>
      <family val="2"/>
    </font>
    <font>
      <b/>
      <sz val="11"/>
      <color rgb="FF181818"/>
      <name val="Calibri"/>
      <family val="2"/>
    </font>
    <font>
      <b/>
      <sz val="11"/>
      <color rgb="FF131313"/>
      <name val="Calibri"/>
      <family val="2"/>
    </font>
    <font>
      <b/>
      <sz val="11"/>
      <color rgb="FF151515"/>
      <name val="Calibri"/>
      <family val="2"/>
    </font>
    <font>
      <b/>
      <sz val="11"/>
      <color rgb="FF111111"/>
      <name val="Calibri"/>
      <family val="2"/>
    </font>
    <font>
      <b/>
      <sz val="11"/>
      <color rgb="FF212121"/>
      <name val="Calibri"/>
      <family val="2"/>
    </font>
    <font>
      <b/>
      <sz val="11"/>
      <color rgb="FF1A1A1A"/>
      <name val="Calibri"/>
      <family val="2"/>
    </font>
    <font>
      <b/>
      <sz val="9.5"/>
      <color theme="1"/>
      <name val="Arial"/>
      <family val="2"/>
    </font>
    <font>
      <sz val="10"/>
      <color theme="1"/>
      <name val="Calibri "/>
    </font>
    <font>
      <b/>
      <sz val="10"/>
      <color theme="1"/>
      <name val="Calibri "/>
    </font>
  </fonts>
  <fills count="3">
    <fill>
      <patternFill patternType="none"/>
    </fill>
    <fill>
      <patternFill patternType="gray125"/>
    </fill>
    <fill>
      <patternFill patternType="solid">
        <fgColor theme="0"/>
        <bgColor indexed="64"/>
      </patternFill>
    </fill>
  </fills>
  <borders count="1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thin">
        <color auto="1"/>
      </bottom>
      <diagonal/>
    </border>
    <border>
      <left style="thin">
        <color auto="1"/>
      </left>
      <right style="thin">
        <color auto="1"/>
      </right>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s>
  <cellStyleXfs count="7">
    <xf numFmtId="0" fontId="0" fillId="0" borderId="0"/>
    <xf numFmtId="0" fontId="4" fillId="0" borderId="0"/>
    <xf numFmtId="0" fontId="9" fillId="0" borderId="0"/>
    <xf numFmtId="43" fontId="15" fillId="0" borderId="0" applyFont="0" applyFill="0" applyBorder="0" applyAlignment="0" applyProtection="0"/>
    <xf numFmtId="164" fontId="15" fillId="0" borderId="0" applyFont="0" applyFill="0" applyBorder="0" applyAlignment="0" applyProtection="0"/>
    <xf numFmtId="0" fontId="15" fillId="0" borderId="0"/>
    <xf numFmtId="0" fontId="9" fillId="0" borderId="0"/>
  </cellStyleXfs>
  <cellXfs count="244">
    <xf numFmtId="0" fontId="0" fillId="0" borderId="0" xfId="0"/>
    <xf numFmtId="2" fontId="3"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5" fillId="2" borderId="1" xfId="1" applyFont="1" applyFill="1" applyBorder="1" applyAlignment="1">
      <alignment horizontal="center" vertical="center" wrapText="1"/>
    </xf>
    <xf numFmtId="165" fontId="6" fillId="0" borderId="1" xfId="0" applyNumberFormat="1" applyFont="1" applyBorder="1" applyAlignment="1">
      <alignment horizontal="center" vertical="center" wrapText="1"/>
    </xf>
    <xf numFmtId="0" fontId="0" fillId="0" borderId="1" xfId="0" applyBorder="1" applyAlignment="1">
      <alignment horizontal="center" vertical="center"/>
    </xf>
    <xf numFmtId="165" fontId="0" fillId="0" borderId="1" xfId="0" applyNumberFormat="1" applyBorder="1" applyAlignment="1">
      <alignment horizontal="center" vertical="center"/>
    </xf>
    <xf numFmtId="0" fontId="0" fillId="2" borderId="1" xfId="0" applyFill="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xf>
    <xf numFmtId="0" fontId="0" fillId="0" borderId="0" xfId="0" applyAlignment="1">
      <alignment horizontal="center"/>
    </xf>
    <xf numFmtId="0" fontId="1" fillId="0" borderId="1" xfId="0" applyFont="1" applyBorder="1" applyAlignment="1">
      <alignment horizontal="center" vertical="center"/>
    </xf>
    <xf numFmtId="2" fontId="1" fillId="0" borderId="1" xfId="0" applyNumberFormat="1" applyFont="1" applyBorder="1" applyAlignment="1">
      <alignment horizontal="center" vertical="center"/>
    </xf>
    <xf numFmtId="0" fontId="0" fillId="2" borderId="1" xfId="0" applyFill="1" applyBorder="1" applyAlignment="1">
      <alignment horizontal="center"/>
    </xf>
    <xf numFmtId="0" fontId="0" fillId="0" borderId="1" xfId="0" applyBorder="1"/>
    <xf numFmtId="2" fontId="0" fillId="0" borderId="1" xfId="0" applyNumberFormat="1" applyBorder="1"/>
    <xf numFmtId="2" fontId="3" fillId="0" borderId="5" xfId="0" applyNumberFormat="1" applyFont="1" applyBorder="1" applyAlignment="1">
      <alignment horizontal="center" vertical="center" wrapText="1"/>
    </xf>
    <xf numFmtId="0" fontId="7" fillId="2" borderId="5" xfId="1" applyFont="1" applyFill="1" applyBorder="1" applyAlignment="1">
      <alignment horizontal="center" vertical="center" wrapText="1"/>
    </xf>
    <xf numFmtId="2" fontId="0" fillId="0" borderId="1" xfId="0" applyNumberFormat="1" applyBorder="1" applyAlignment="1">
      <alignment horizontal="center"/>
    </xf>
    <xf numFmtId="2" fontId="0" fillId="2" borderId="1" xfId="0" applyNumberFormat="1" applyFill="1" applyBorder="1" applyAlignment="1">
      <alignment horizontal="center"/>
    </xf>
    <xf numFmtId="2" fontId="0" fillId="0" borderId="1" xfId="0" applyNumberFormat="1" applyBorder="1" applyAlignment="1">
      <alignment horizontal="center" vertical="center"/>
    </xf>
    <xf numFmtId="2" fontId="0" fillId="0" borderId="0" xfId="0" applyNumberFormat="1" applyAlignment="1">
      <alignment horizontal="center"/>
    </xf>
    <xf numFmtId="0" fontId="5" fillId="2" borderId="5" xfId="1" applyFont="1" applyFill="1" applyBorder="1" applyAlignment="1">
      <alignment horizontal="center" vertical="center" wrapText="1"/>
    </xf>
    <xf numFmtId="2" fontId="6" fillId="0" borderId="5" xfId="0" applyNumberFormat="1" applyFont="1" applyBorder="1" applyAlignment="1">
      <alignment horizontal="center" vertical="center" wrapText="1"/>
    </xf>
    <xf numFmtId="2" fontId="0" fillId="2" borderId="1" xfId="0" applyNumberFormat="1" applyFill="1" applyBorder="1" applyAlignment="1">
      <alignment horizontal="center" vertical="center"/>
    </xf>
    <xf numFmtId="0" fontId="12" fillId="0" borderId="1" xfId="0" applyFont="1" applyBorder="1"/>
    <xf numFmtId="0" fontId="12" fillId="0" borderId="6" xfId="0" applyFont="1" applyBorder="1" applyAlignment="1">
      <alignment horizontal="center" vertical="center"/>
    </xf>
    <xf numFmtId="0" fontId="12" fillId="0" borderId="6" xfId="0" applyFont="1" applyBorder="1" applyAlignment="1">
      <alignment vertical="center"/>
    </xf>
    <xf numFmtId="0" fontId="12" fillId="0" borderId="6" xfId="0" applyFont="1" applyBorder="1"/>
    <xf numFmtId="0" fontId="0" fillId="0" borderId="0" xfId="0" applyAlignment="1">
      <alignment vertical="center"/>
    </xf>
    <xf numFmtId="2" fontId="6" fillId="0" borderId="1" xfId="0" applyNumberFormat="1" applyFont="1" applyBorder="1" applyAlignment="1">
      <alignment horizontal="center" vertical="center" wrapText="1"/>
    </xf>
    <xf numFmtId="2" fontId="0" fillId="0" borderId="0" xfId="0" applyNumberFormat="1"/>
    <xf numFmtId="0" fontId="1" fillId="0" borderId="1" xfId="0" applyFont="1" applyBorder="1" applyAlignment="1">
      <alignment vertical="center"/>
    </xf>
    <xf numFmtId="0" fontId="1" fillId="0" borderId="1" xfId="0" applyFont="1" applyBorder="1" applyAlignment="1">
      <alignment horizontal="center" vertical="center" wrapText="1"/>
    </xf>
    <xf numFmtId="0" fontId="1" fillId="0" borderId="0" xfId="0" applyFont="1" applyAlignment="1">
      <alignment horizontal="center" vertical="center"/>
    </xf>
    <xf numFmtId="0" fontId="0" fillId="0" borderId="1" xfId="0" applyBorder="1" applyAlignment="1">
      <alignment vertical="center"/>
    </xf>
    <xf numFmtId="43" fontId="0" fillId="0" borderId="1" xfId="3" applyFont="1" applyFill="1" applyBorder="1" applyAlignment="1">
      <alignment vertical="center"/>
    </xf>
    <xf numFmtId="0" fontId="1" fillId="0" borderId="1" xfId="0" applyFont="1" applyBorder="1" applyAlignment="1">
      <alignment wrapText="1"/>
    </xf>
    <xf numFmtId="0" fontId="0" fillId="0" borderId="1" xfId="0" applyBorder="1" applyAlignment="1">
      <alignment wrapText="1"/>
    </xf>
    <xf numFmtId="167" fontId="0" fillId="0" borderId="1" xfId="0" applyNumberFormat="1" applyBorder="1" applyAlignment="1">
      <alignment vertical="center"/>
    </xf>
    <xf numFmtId="0" fontId="0" fillId="0" borderId="1" xfId="0" applyBorder="1" applyAlignment="1">
      <alignment horizontal="left" vertical="top"/>
    </xf>
    <xf numFmtId="167" fontId="0" fillId="0" borderId="1" xfId="3" applyNumberFormat="1" applyFont="1" applyFill="1" applyBorder="1" applyAlignment="1" applyProtection="1">
      <alignment vertical="center"/>
      <protection locked="0"/>
    </xf>
    <xf numFmtId="167" fontId="0" fillId="0" borderId="0" xfId="0" applyNumberFormat="1" applyAlignment="1">
      <alignment vertical="center"/>
    </xf>
    <xf numFmtId="1" fontId="0" fillId="0" borderId="0" xfId="0" applyNumberFormat="1" applyAlignment="1">
      <alignment vertical="center"/>
    </xf>
    <xf numFmtId="0" fontId="13" fillId="0" borderId="6" xfId="0" applyFont="1" applyBorder="1"/>
    <xf numFmtId="0" fontId="0" fillId="2" borderId="0" xfId="0" applyFill="1" applyAlignment="1">
      <alignment horizontal="center"/>
    </xf>
    <xf numFmtId="43" fontId="0" fillId="0" borderId="0" xfId="0" applyNumberFormat="1" applyAlignment="1">
      <alignment vertical="center"/>
    </xf>
    <xf numFmtId="2" fontId="1" fillId="2" borderId="1" xfId="0" applyNumberFormat="1" applyFont="1" applyFill="1" applyBorder="1" applyAlignment="1">
      <alignment horizontal="center" vertical="center"/>
    </xf>
    <xf numFmtId="2" fontId="0" fillId="2" borderId="0" xfId="0" applyNumberFormat="1" applyFill="1" applyAlignment="1">
      <alignment horizontal="center" vertical="center"/>
    </xf>
    <xf numFmtId="1" fontId="17" fillId="0" borderId="1" xfId="0" applyNumberFormat="1" applyFont="1" applyBorder="1" applyAlignment="1">
      <alignment horizontal="center" vertical="top" shrinkToFit="1"/>
    </xf>
    <xf numFmtId="1" fontId="18" fillId="0" borderId="1" xfId="0" applyNumberFormat="1" applyFont="1" applyBorder="1" applyAlignment="1">
      <alignment horizontal="center" vertical="top" shrinkToFit="1"/>
    </xf>
    <xf numFmtId="1" fontId="19" fillId="0" borderId="1" xfId="0" applyNumberFormat="1" applyFont="1" applyBorder="1" applyAlignment="1">
      <alignment horizontal="center" vertical="top" shrinkToFit="1"/>
    </xf>
    <xf numFmtId="1" fontId="20" fillId="0" borderId="1" xfId="0" applyNumberFormat="1" applyFont="1" applyBorder="1" applyAlignment="1">
      <alignment horizontal="center" vertical="top" shrinkToFit="1"/>
    </xf>
    <xf numFmtId="1" fontId="21" fillId="0" borderId="1" xfId="0" applyNumberFormat="1" applyFont="1" applyBorder="1" applyAlignment="1">
      <alignment horizontal="center" vertical="center" shrinkToFit="1"/>
    </xf>
    <xf numFmtId="0" fontId="0" fillId="0" borderId="1" xfId="0" applyBorder="1" applyAlignment="1">
      <alignment horizontal="left" vertical="top" wrapText="1"/>
    </xf>
    <xf numFmtId="3" fontId="19" fillId="0" borderId="1" xfId="0" applyNumberFormat="1" applyFont="1" applyBorder="1" applyAlignment="1">
      <alignment horizontal="center" vertical="top" shrinkToFit="1"/>
    </xf>
    <xf numFmtId="3" fontId="22" fillId="0" borderId="1" xfId="0" applyNumberFormat="1" applyFont="1" applyBorder="1" applyAlignment="1">
      <alignment horizontal="center" vertical="top" shrinkToFit="1"/>
    </xf>
    <xf numFmtId="0" fontId="0" fillId="0" borderId="1" xfId="0" applyBorder="1" applyAlignment="1">
      <alignment horizontal="left" wrapText="1"/>
    </xf>
    <xf numFmtId="0" fontId="0" fillId="0" borderId="1" xfId="0" applyBorder="1" applyAlignment="1">
      <alignment horizontal="left" vertical="center" wrapText="1"/>
    </xf>
    <xf numFmtId="0" fontId="23" fillId="0" borderId="1" xfId="0" applyFont="1" applyBorder="1" applyAlignment="1">
      <alignment horizontal="center" vertical="top" wrapText="1"/>
    </xf>
    <xf numFmtId="3" fontId="24" fillId="0" borderId="1" xfId="0" applyNumberFormat="1" applyFont="1" applyBorder="1" applyAlignment="1">
      <alignment horizontal="center" vertical="top" shrinkToFit="1"/>
    </xf>
    <xf numFmtId="3" fontId="25" fillId="0" borderId="1" xfId="0" applyNumberFormat="1" applyFont="1" applyBorder="1" applyAlignment="1">
      <alignment horizontal="center" vertical="top" shrinkToFit="1"/>
    </xf>
    <xf numFmtId="3" fontId="20" fillId="0" borderId="1" xfId="0" applyNumberFormat="1" applyFont="1" applyBorder="1" applyAlignment="1">
      <alignment horizontal="center" vertical="top" shrinkToFit="1"/>
    </xf>
    <xf numFmtId="3" fontId="20" fillId="0" borderId="1" xfId="0" applyNumberFormat="1" applyFont="1" applyBorder="1" applyAlignment="1">
      <alignment horizontal="center" vertical="center" shrinkToFit="1"/>
    </xf>
    <xf numFmtId="1" fontId="20" fillId="0" borderId="1" xfId="0" applyNumberFormat="1" applyFont="1" applyBorder="1" applyAlignment="1">
      <alignment horizontal="center" vertical="center" shrinkToFit="1"/>
    </xf>
    <xf numFmtId="1" fontId="26" fillId="0" borderId="1" xfId="0" applyNumberFormat="1" applyFont="1" applyBorder="1" applyAlignment="1">
      <alignment horizontal="center" vertical="top" shrinkToFit="1"/>
    </xf>
    <xf numFmtId="1" fontId="27" fillId="0" borderId="1" xfId="0" applyNumberFormat="1" applyFont="1" applyBorder="1" applyAlignment="1">
      <alignment horizontal="center" vertical="top" shrinkToFit="1"/>
    </xf>
    <xf numFmtId="3" fontId="28" fillId="0" borderId="1" xfId="0" applyNumberFormat="1" applyFont="1" applyBorder="1" applyAlignment="1">
      <alignment horizontal="center" vertical="top" shrinkToFit="1"/>
    </xf>
    <xf numFmtId="3" fontId="27" fillId="0" borderId="1" xfId="0" applyNumberFormat="1" applyFont="1" applyBorder="1" applyAlignment="1">
      <alignment horizontal="center" vertical="top" shrinkToFit="1"/>
    </xf>
    <xf numFmtId="3" fontId="29" fillId="0" borderId="1" xfId="0" applyNumberFormat="1" applyFont="1" applyBorder="1" applyAlignment="1">
      <alignment horizontal="center" vertical="top" shrinkToFit="1"/>
    </xf>
    <xf numFmtId="0" fontId="30" fillId="0" borderId="1" xfId="0" applyFont="1" applyBorder="1" applyAlignment="1">
      <alignment horizontal="center" vertical="top" wrapText="1"/>
    </xf>
    <xf numFmtId="3" fontId="31" fillId="0" borderId="1" xfId="0" applyNumberFormat="1" applyFont="1" applyBorder="1" applyAlignment="1">
      <alignment horizontal="center" vertical="top" shrinkToFit="1"/>
    </xf>
    <xf numFmtId="3" fontId="32" fillId="0" borderId="1" xfId="0" applyNumberFormat="1" applyFont="1" applyBorder="1" applyAlignment="1">
      <alignment horizontal="center" vertical="top" shrinkToFit="1"/>
    </xf>
    <xf numFmtId="0" fontId="33" fillId="0" borderId="1" xfId="0" applyFont="1" applyBorder="1" applyAlignment="1">
      <alignment horizontal="center" vertical="top" wrapText="1"/>
    </xf>
    <xf numFmtId="1" fontId="34" fillId="0" borderId="1" xfId="0" applyNumberFormat="1" applyFont="1" applyBorder="1" applyAlignment="1">
      <alignment horizontal="center" vertical="top" shrinkToFit="1"/>
    </xf>
    <xf numFmtId="1" fontId="35" fillId="0" borderId="1" xfId="0" applyNumberFormat="1" applyFont="1" applyBorder="1" applyAlignment="1">
      <alignment horizontal="center" vertical="top" shrinkToFit="1"/>
    </xf>
    <xf numFmtId="1" fontId="36" fillId="0" borderId="1" xfId="0" applyNumberFormat="1" applyFont="1" applyBorder="1" applyAlignment="1">
      <alignment horizontal="center" vertical="center" shrinkToFit="1"/>
    </xf>
    <xf numFmtId="1" fontId="37" fillId="0" borderId="1" xfId="0" applyNumberFormat="1" applyFont="1" applyBorder="1" applyAlignment="1">
      <alignment horizontal="center" vertical="center" shrinkToFit="1"/>
    </xf>
    <xf numFmtId="3" fontId="35" fillId="0" borderId="1" xfId="0" applyNumberFormat="1" applyFont="1" applyBorder="1" applyAlignment="1">
      <alignment horizontal="center" vertical="top" shrinkToFit="1"/>
    </xf>
    <xf numFmtId="3" fontId="38" fillId="0" borderId="1" xfId="0" applyNumberFormat="1" applyFont="1" applyBorder="1" applyAlignment="1">
      <alignment horizontal="center" vertical="top" shrinkToFit="1"/>
    </xf>
    <xf numFmtId="0" fontId="0" fillId="0" borderId="1" xfId="0" applyBorder="1" applyAlignment="1">
      <alignment horizontal="center" wrapText="1"/>
    </xf>
    <xf numFmtId="1" fontId="39" fillId="0" borderId="1" xfId="0" applyNumberFormat="1" applyFont="1" applyBorder="1" applyAlignment="1">
      <alignment horizontal="center" vertical="top" shrinkToFit="1"/>
    </xf>
    <xf numFmtId="3" fontId="40" fillId="0" borderId="1" xfId="0" applyNumberFormat="1" applyFont="1" applyBorder="1" applyAlignment="1">
      <alignment horizontal="center" vertical="top" shrinkToFit="1"/>
    </xf>
    <xf numFmtId="3" fontId="41" fillId="0" borderId="1" xfId="0" applyNumberFormat="1" applyFont="1" applyBorder="1" applyAlignment="1">
      <alignment horizontal="center" vertical="center" shrinkToFit="1"/>
    </xf>
    <xf numFmtId="1" fontId="38" fillId="0" borderId="1" xfId="0" applyNumberFormat="1" applyFont="1" applyBorder="1" applyAlignment="1">
      <alignment horizontal="center" vertical="top" shrinkToFit="1"/>
    </xf>
    <xf numFmtId="1" fontId="42" fillId="0" borderId="1" xfId="0" applyNumberFormat="1" applyFont="1" applyBorder="1" applyAlignment="1">
      <alignment horizontal="center" vertical="top" shrinkToFit="1"/>
    </xf>
    <xf numFmtId="1" fontId="43" fillId="0" borderId="1" xfId="0" applyNumberFormat="1" applyFont="1" applyBorder="1" applyAlignment="1">
      <alignment horizontal="center" vertical="top" shrinkToFit="1"/>
    </xf>
    <xf numFmtId="1" fontId="44" fillId="0" borderId="1" xfId="0" applyNumberFormat="1" applyFont="1" applyBorder="1" applyAlignment="1">
      <alignment horizontal="center" vertical="top" shrinkToFit="1"/>
    </xf>
    <xf numFmtId="1" fontId="45" fillId="0" borderId="1" xfId="0" applyNumberFormat="1" applyFont="1" applyBorder="1" applyAlignment="1">
      <alignment horizontal="center" vertical="top" shrinkToFit="1"/>
    </xf>
    <xf numFmtId="1" fontId="37" fillId="0" borderId="1" xfId="0" applyNumberFormat="1" applyFont="1" applyBorder="1" applyAlignment="1">
      <alignment horizontal="center" vertical="top" shrinkToFit="1"/>
    </xf>
    <xf numFmtId="1" fontId="46" fillId="0" borderId="1" xfId="0" applyNumberFormat="1" applyFont="1" applyBorder="1" applyAlignment="1">
      <alignment horizontal="center" vertical="top" shrinkToFit="1"/>
    </xf>
    <xf numFmtId="3" fontId="46" fillId="0" borderId="1" xfId="0" applyNumberFormat="1" applyFont="1" applyBorder="1" applyAlignment="1">
      <alignment horizontal="center" vertical="top" shrinkToFit="1"/>
    </xf>
    <xf numFmtId="1" fontId="32" fillId="0" borderId="1" xfId="0" applyNumberFormat="1" applyFont="1" applyBorder="1" applyAlignment="1">
      <alignment horizontal="center" vertical="top" shrinkToFit="1"/>
    </xf>
    <xf numFmtId="1" fontId="38" fillId="0" borderId="1" xfId="0" applyNumberFormat="1" applyFont="1" applyBorder="1" applyAlignment="1">
      <alignment horizontal="center" vertical="center" shrinkToFit="1"/>
    </xf>
    <xf numFmtId="3" fontId="47" fillId="0" borderId="1" xfId="0" applyNumberFormat="1" applyFont="1" applyBorder="1" applyAlignment="1">
      <alignment horizontal="center" vertical="center" shrinkToFit="1"/>
    </xf>
    <xf numFmtId="3" fontId="37" fillId="0" borderId="1" xfId="0" applyNumberFormat="1" applyFont="1" applyBorder="1" applyAlignment="1">
      <alignment horizontal="center" vertical="top" shrinkToFit="1"/>
    </xf>
    <xf numFmtId="1" fontId="48" fillId="0" borderId="1" xfId="0" applyNumberFormat="1" applyFont="1" applyBorder="1" applyAlignment="1">
      <alignment horizontal="center" vertical="top" shrinkToFit="1"/>
    </xf>
    <xf numFmtId="1" fontId="49" fillId="0" borderId="1" xfId="0" applyNumberFormat="1" applyFont="1" applyBorder="1" applyAlignment="1">
      <alignment horizontal="center" vertical="top" shrinkToFit="1"/>
    </xf>
    <xf numFmtId="1" fontId="50" fillId="0" borderId="1" xfId="0" applyNumberFormat="1" applyFont="1" applyBorder="1" applyAlignment="1">
      <alignment horizontal="center" vertical="top" shrinkToFit="1"/>
    </xf>
    <xf numFmtId="3" fontId="51" fillId="0" borderId="1" xfId="0" applyNumberFormat="1" applyFont="1" applyBorder="1" applyAlignment="1">
      <alignment horizontal="center" vertical="center" shrinkToFit="1"/>
    </xf>
    <xf numFmtId="3" fontId="35" fillId="0" borderId="1" xfId="0" applyNumberFormat="1" applyFont="1" applyBorder="1" applyAlignment="1">
      <alignment horizontal="center" vertical="center" shrinkToFit="1"/>
    </xf>
    <xf numFmtId="3" fontId="43" fillId="0" borderId="1" xfId="0" applyNumberFormat="1" applyFont="1" applyBorder="1" applyAlignment="1">
      <alignment horizontal="center" vertical="center" shrinkToFit="1"/>
    </xf>
    <xf numFmtId="1" fontId="46" fillId="0" borderId="1" xfId="0" applyNumberFormat="1" applyFont="1" applyBorder="1" applyAlignment="1">
      <alignment horizontal="center" vertical="center" shrinkToFit="1"/>
    </xf>
    <xf numFmtId="1" fontId="52" fillId="0" borderId="1" xfId="0" applyNumberFormat="1" applyFont="1" applyBorder="1" applyAlignment="1">
      <alignment horizontal="center" vertical="top" shrinkToFit="1"/>
    </xf>
    <xf numFmtId="1" fontId="40" fillId="0" borderId="1" xfId="0" applyNumberFormat="1" applyFont="1" applyBorder="1" applyAlignment="1">
      <alignment horizontal="center" vertical="top" shrinkToFit="1"/>
    </xf>
    <xf numFmtId="3" fontId="43" fillId="0" borderId="1" xfId="0" applyNumberFormat="1" applyFont="1" applyBorder="1" applyAlignment="1">
      <alignment horizontal="center" vertical="top" shrinkToFit="1"/>
    </xf>
    <xf numFmtId="3" fontId="37" fillId="0" borderId="1" xfId="0" applyNumberFormat="1" applyFont="1" applyBorder="1" applyAlignment="1">
      <alignment horizontal="center" vertical="center" shrinkToFit="1"/>
    </xf>
    <xf numFmtId="0" fontId="33" fillId="0" borderId="1" xfId="0" applyFont="1" applyBorder="1" applyAlignment="1">
      <alignment horizontal="center" vertical="center" wrapText="1"/>
    </xf>
    <xf numFmtId="3" fontId="38" fillId="0" borderId="1" xfId="0" applyNumberFormat="1" applyFont="1" applyBorder="1" applyAlignment="1">
      <alignment horizontal="center" vertical="center" shrinkToFit="1"/>
    </xf>
    <xf numFmtId="3" fontId="36" fillId="0" borderId="1" xfId="0" applyNumberFormat="1" applyFont="1" applyBorder="1" applyAlignment="1">
      <alignment horizontal="center" vertical="top" shrinkToFit="1"/>
    </xf>
    <xf numFmtId="3" fontId="34" fillId="0" borderId="1" xfId="0" applyNumberFormat="1" applyFont="1" applyBorder="1" applyAlignment="1">
      <alignment horizontal="center" vertical="top" shrinkToFit="1"/>
    </xf>
    <xf numFmtId="3" fontId="53" fillId="0" borderId="1" xfId="0" applyNumberFormat="1" applyFont="1" applyBorder="1" applyAlignment="1">
      <alignment horizontal="center" vertical="center" shrinkToFit="1"/>
    </xf>
    <xf numFmtId="1" fontId="54" fillId="0" borderId="1" xfId="0" applyNumberFormat="1" applyFont="1" applyBorder="1" applyAlignment="1">
      <alignment horizontal="center" vertical="top" shrinkToFit="1"/>
    </xf>
    <xf numFmtId="1" fontId="55" fillId="0" borderId="1" xfId="0" applyNumberFormat="1" applyFont="1" applyBorder="1" applyAlignment="1">
      <alignment horizontal="center" vertical="top" shrinkToFit="1"/>
    </xf>
    <xf numFmtId="1" fontId="56" fillId="0" borderId="1" xfId="0" applyNumberFormat="1" applyFont="1" applyBorder="1" applyAlignment="1">
      <alignment horizontal="center" vertical="top" shrinkToFit="1"/>
    </xf>
    <xf numFmtId="3" fontId="54" fillId="0" borderId="1" xfId="0" applyNumberFormat="1" applyFont="1" applyBorder="1" applyAlignment="1">
      <alignment horizontal="center" vertical="top" shrinkToFit="1"/>
    </xf>
    <xf numFmtId="3" fontId="57" fillId="0" borderId="1" xfId="0" applyNumberFormat="1" applyFont="1" applyBorder="1" applyAlignment="1">
      <alignment horizontal="center" vertical="top" shrinkToFit="1"/>
    </xf>
    <xf numFmtId="1" fontId="32" fillId="0" borderId="1" xfId="0" applyNumberFormat="1" applyFont="1" applyBorder="1" applyAlignment="1">
      <alignment horizontal="center" vertical="center" shrinkToFit="1"/>
    </xf>
    <xf numFmtId="1" fontId="54" fillId="0" borderId="1" xfId="0" applyNumberFormat="1" applyFont="1" applyBorder="1" applyAlignment="1">
      <alignment horizontal="center" vertical="center" shrinkToFit="1"/>
    </xf>
    <xf numFmtId="1" fontId="34" fillId="0" borderId="1" xfId="0" applyNumberFormat="1" applyFont="1" applyBorder="1" applyAlignment="1">
      <alignment horizontal="center" vertical="center" shrinkToFit="1"/>
    </xf>
    <xf numFmtId="1" fontId="58" fillId="0" borderId="1" xfId="0" applyNumberFormat="1" applyFont="1" applyBorder="1" applyAlignment="1">
      <alignment horizontal="center" vertical="center" shrinkToFit="1"/>
    </xf>
    <xf numFmtId="1" fontId="36" fillId="0" borderId="1" xfId="0" applyNumberFormat="1" applyFont="1" applyBorder="1" applyAlignment="1">
      <alignment horizontal="center" vertical="top" shrinkToFit="1"/>
    </xf>
    <xf numFmtId="1" fontId="59" fillId="0" borderId="1" xfId="0" applyNumberFormat="1" applyFont="1" applyBorder="1" applyAlignment="1">
      <alignment horizontal="center" vertical="top" shrinkToFit="1"/>
    </xf>
    <xf numFmtId="1" fontId="60" fillId="0" borderId="1" xfId="0" applyNumberFormat="1" applyFont="1" applyBorder="1" applyAlignment="1">
      <alignment horizontal="center" vertical="top" shrinkToFit="1"/>
    </xf>
    <xf numFmtId="1" fontId="61" fillId="0" borderId="1" xfId="0" applyNumberFormat="1" applyFont="1" applyBorder="1" applyAlignment="1">
      <alignment horizontal="center" vertical="top" shrinkToFit="1"/>
    </xf>
    <xf numFmtId="0" fontId="62" fillId="0" borderId="1" xfId="0" applyFont="1" applyBorder="1" applyAlignment="1">
      <alignment horizontal="center" vertical="center" wrapText="1"/>
    </xf>
    <xf numFmtId="2" fontId="63" fillId="0" borderId="1" xfId="0" applyNumberFormat="1" applyFont="1" applyBorder="1" applyAlignment="1">
      <alignment horizontal="center" vertical="center" wrapText="1"/>
    </xf>
    <xf numFmtId="0" fontId="62" fillId="0" borderId="2" xfId="0" applyFont="1" applyBorder="1" applyAlignment="1">
      <alignment vertical="center" wrapText="1"/>
    </xf>
    <xf numFmtId="0" fontId="62" fillId="0" borderId="3" xfId="0" applyFont="1" applyBorder="1" applyAlignment="1">
      <alignment vertical="center" wrapText="1"/>
    </xf>
    <xf numFmtId="0" fontId="1" fillId="0" borderId="0" xfId="0" applyFont="1" applyAlignment="1">
      <alignment wrapText="1"/>
    </xf>
    <xf numFmtId="0" fontId="64" fillId="2" borderId="0" xfId="5" applyFont="1" applyFill="1" applyAlignment="1">
      <alignment horizontal="center" vertical="center" wrapText="1"/>
    </xf>
    <xf numFmtId="0" fontId="64" fillId="2" borderId="0" xfId="6" applyFont="1" applyFill="1" applyAlignment="1">
      <alignment horizontal="center" vertical="center" wrapText="1"/>
    </xf>
    <xf numFmtId="0" fontId="64" fillId="2" borderId="0" xfId="5" applyFont="1" applyFill="1" applyAlignment="1">
      <alignment horizontal="center" vertical="center" textRotation="90" wrapText="1"/>
    </xf>
    <xf numFmtId="0" fontId="65" fillId="0" borderId="1" xfId="0" applyFont="1" applyBorder="1" applyAlignment="1">
      <alignment horizontal="center" vertical="center"/>
    </xf>
    <xf numFmtId="165" fontId="65" fillId="0" borderId="1" xfId="0" applyNumberFormat="1" applyFont="1" applyBorder="1" applyAlignment="1">
      <alignment horizontal="center" vertical="center"/>
    </xf>
    <xf numFmtId="166" fontId="65" fillId="0" borderId="1" xfId="0" applyNumberFormat="1" applyFont="1" applyBorder="1" applyAlignment="1">
      <alignment horizontal="center" vertical="center"/>
    </xf>
    <xf numFmtId="0" fontId="1" fillId="0" borderId="1" xfId="0" applyFont="1" applyBorder="1" applyAlignment="1">
      <alignment horizontal="left" vertical="center"/>
    </xf>
    <xf numFmtId="0" fontId="67" fillId="0" borderId="1" xfId="6" applyFont="1" applyBorder="1" applyAlignment="1">
      <alignment horizontal="left" vertical="center"/>
    </xf>
    <xf numFmtId="0" fontId="0" fillId="0" borderId="6" xfId="0" applyBorder="1" applyAlignment="1">
      <alignment vertical="center"/>
    </xf>
    <xf numFmtId="0" fontId="10" fillId="0" borderId="1" xfId="6" applyFont="1" applyBorder="1" applyAlignment="1">
      <alignment horizontal="left" vertical="center"/>
    </xf>
    <xf numFmtId="2" fontId="10" fillId="0" borderId="1" xfId="6" applyNumberFormat="1" applyFont="1" applyBorder="1" applyAlignment="1">
      <alignment horizontal="center" vertical="center"/>
    </xf>
    <xf numFmtId="0" fontId="11" fillId="0" borderId="1" xfId="6" applyFont="1" applyBorder="1" applyAlignment="1">
      <alignment horizontal="left" vertical="center"/>
    </xf>
    <xf numFmtId="0" fontId="10" fillId="0" borderId="1" xfId="6" quotePrefix="1" applyFont="1" applyBorder="1" applyAlignment="1">
      <alignment horizontal="center" vertical="center" wrapText="1"/>
    </xf>
    <xf numFmtId="0" fontId="62" fillId="0" borderId="0" xfId="0" applyFont="1" applyAlignment="1">
      <alignment horizontal="center" vertical="center" wrapText="1"/>
    </xf>
    <xf numFmtId="0" fontId="0" fillId="0" borderId="0" xfId="0" applyAlignment="1">
      <alignment wrapText="1"/>
    </xf>
    <xf numFmtId="0" fontId="10" fillId="0" borderId="6" xfId="6" quotePrefix="1" applyFont="1" applyBorder="1" applyAlignment="1">
      <alignment horizontal="center" vertical="center" wrapText="1"/>
    </xf>
    <xf numFmtId="0" fontId="10" fillId="0" borderId="1" xfId="6" quotePrefix="1" applyFont="1" applyBorder="1" applyAlignment="1">
      <alignment vertical="center" wrapText="1"/>
    </xf>
    <xf numFmtId="0" fontId="11" fillId="0" borderId="6" xfId="6" applyFont="1" applyBorder="1" applyAlignment="1">
      <alignment horizontal="left" vertical="center"/>
    </xf>
    <xf numFmtId="0" fontId="10" fillId="0" borderId="6" xfId="6" applyFont="1" applyBorder="1" applyAlignment="1">
      <alignment horizontal="left" vertical="center"/>
    </xf>
    <xf numFmtId="0" fontId="1" fillId="0" borderId="5" xfId="0" applyFont="1" applyBorder="1" applyAlignment="1">
      <alignment horizontal="center" vertical="center" wrapText="1"/>
    </xf>
    <xf numFmtId="0" fontId="0" fillId="0" borderId="0" xfId="0" applyAlignment="1">
      <alignment vertical="center" wrapText="1"/>
    </xf>
    <xf numFmtId="165" fontId="0" fillId="0" borderId="0" xfId="0" applyNumberFormat="1"/>
    <xf numFmtId="2" fontId="65" fillId="0" borderId="1" xfId="0" applyNumberFormat="1" applyFont="1" applyBorder="1" applyAlignment="1">
      <alignment horizontal="center" vertical="center"/>
    </xf>
    <xf numFmtId="2" fontId="1" fillId="0" borderId="5" xfId="0" applyNumberFormat="1" applyFont="1" applyBorder="1" applyAlignment="1">
      <alignment horizontal="center" vertical="center" wrapText="1"/>
    </xf>
    <xf numFmtId="2" fontId="70" fillId="0" borderId="1" xfId="0" applyNumberFormat="1" applyFont="1" applyBorder="1" applyAlignment="1">
      <alignment horizontal="center" vertical="top" shrinkToFit="1"/>
    </xf>
    <xf numFmtId="2" fontId="71" fillId="0" borderId="1" xfId="0" applyNumberFormat="1" applyFont="1" applyBorder="1" applyAlignment="1">
      <alignment horizontal="center" vertical="top" shrinkToFit="1"/>
    </xf>
    <xf numFmtId="1" fontId="72" fillId="0" borderId="1" xfId="0" applyNumberFormat="1" applyFont="1" applyBorder="1" applyAlignment="1">
      <alignment horizontal="center" vertical="top" shrinkToFit="1"/>
    </xf>
    <xf numFmtId="1" fontId="73" fillId="0" borderId="1" xfId="0" applyNumberFormat="1" applyFont="1" applyBorder="1" applyAlignment="1">
      <alignment horizontal="center" vertical="top" shrinkToFit="1"/>
    </xf>
    <xf numFmtId="1" fontId="74" fillId="0" borderId="1" xfId="0" applyNumberFormat="1" applyFont="1" applyBorder="1" applyAlignment="1">
      <alignment horizontal="center" vertical="top" shrinkToFit="1"/>
    </xf>
    <xf numFmtId="1" fontId="75" fillId="0" borderId="1" xfId="0" applyNumberFormat="1" applyFont="1" applyBorder="1" applyAlignment="1">
      <alignment horizontal="center" vertical="center" shrinkToFit="1"/>
    </xf>
    <xf numFmtId="0" fontId="1" fillId="0" borderId="1" xfId="0" applyFont="1" applyBorder="1" applyAlignment="1">
      <alignment horizontal="left" vertical="top" wrapText="1"/>
    </xf>
    <xf numFmtId="3" fontId="73" fillId="0" borderId="1" xfId="0" applyNumberFormat="1" applyFont="1" applyBorder="1" applyAlignment="1">
      <alignment horizontal="center" vertical="top" shrinkToFit="1"/>
    </xf>
    <xf numFmtId="3" fontId="76" fillId="0" borderId="1" xfId="0" applyNumberFormat="1" applyFont="1" applyBorder="1" applyAlignment="1">
      <alignment horizontal="center" vertical="top" shrinkToFit="1"/>
    </xf>
    <xf numFmtId="1" fontId="70" fillId="0" borderId="1" xfId="0" applyNumberFormat="1" applyFont="1" applyBorder="1" applyAlignment="1">
      <alignment horizontal="center" vertical="top" shrinkToFit="1"/>
    </xf>
    <xf numFmtId="0" fontId="1" fillId="0" borderId="1" xfId="0" applyFont="1" applyBorder="1" applyAlignment="1">
      <alignment horizontal="left" wrapText="1"/>
    </xf>
    <xf numFmtId="0" fontId="1" fillId="0" borderId="1" xfId="0" applyFont="1" applyBorder="1" applyAlignment="1">
      <alignment horizontal="left" vertical="center" wrapText="1"/>
    </xf>
    <xf numFmtId="2" fontId="77" fillId="0" borderId="1" xfId="0" applyNumberFormat="1" applyFont="1" applyBorder="1" applyAlignment="1">
      <alignment horizontal="center" vertical="top" wrapText="1"/>
    </xf>
    <xf numFmtId="3" fontId="78" fillId="0" borderId="1" xfId="0" applyNumberFormat="1" applyFont="1" applyBorder="1" applyAlignment="1">
      <alignment horizontal="center" vertical="top" shrinkToFit="1"/>
    </xf>
    <xf numFmtId="0" fontId="1" fillId="0" borderId="1" xfId="0" applyFont="1" applyBorder="1" applyAlignment="1">
      <alignment horizontal="left" vertical="top"/>
    </xf>
    <xf numFmtId="3" fontId="74" fillId="0" borderId="1" xfId="0" applyNumberFormat="1" applyFont="1" applyBorder="1" applyAlignment="1">
      <alignment horizontal="center" vertical="top" shrinkToFit="1"/>
    </xf>
    <xf numFmtId="3" fontId="74" fillId="0" borderId="1" xfId="0" applyNumberFormat="1" applyFont="1" applyBorder="1" applyAlignment="1">
      <alignment horizontal="center" vertical="center" shrinkToFit="1"/>
    </xf>
    <xf numFmtId="2" fontId="74" fillId="0" borderId="1" xfId="0" applyNumberFormat="1" applyFont="1" applyBorder="1" applyAlignment="1">
      <alignment horizontal="center" vertical="center" shrinkToFit="1"/>
    </xf>
    <xf numFmtId="1" fontId="80" fillId="0" borderId="1" xfId="0" applyNumberFormat="1" applyFont="1" applyBorder="1" applyAlignment="1">
      <alignment horizontal="center" vertical="top" shrinkToFit="1"/>
    </xf>
    <xf numFmtId="1" fontId="81" fillId="0" borderId="1" xfId="0" applyNumberFormat="1" applyFont="1" applyBorder="1" applyAlignment="1">
      <alignment horizontal="center" vertical="top" shrinkToFit="1"/>
    </xf>
    <xf numFmtId="3" fontId="82" fillId="0" borderId="1" xfId="0" applyNumberFormat="1" applyFont="1" applyBorder="1" applyAlignment="1">
      <alignment horizontal="center" vertical="top" shrinkToFit="1"/>
    </xf>
    <xf numFmtId="3" fontId="81" fillId="0" borderId="1" xfId="0" applyNumberFormat="1" applyFont="1" applyBorder="1" applyAlignment="1">
      <alignment horizontal="center" vertical="top" shrinkToFit="1"/>
    </xf>
    <xf numFmtId="3" fontId="83" fillId="0" borderId="1" xfId="0" applyNumberFormat="1" applyFont="1" applyBorder="1" applyAlignment="1">
      <alignment horizontal="center" vertical="top" shrinkToFit="1"/>
    </xf>
    <xf numFmtId="0" fontId="84" fillId="0" borderId="1" xfId="0" applyFont="1" applyBorder="1" applyAlignment="1">
      <alignment horizontal="center" vertical="top" wrapText="1"/>
    </xf>
    <xf numFmtId="3" fontId="85" fillId="0" borderId="1" xfId="0" applyNumberFormat="1" applyFont="1" applyBorder="1" applyAlignment="1">
      <alignment horizontal="center" vertical="top" shrinkToFit="1"/>
    </xf>
    <xf numFmtId="3" fontId="86" fillId="0" borderId="1" xfId="0" applyNumberFormat="1" applyFont="1" applyBorder="1" applyAlignment="1">
      <alignment horizontal="center" vertical="top" shrinkToFit="1"/>
    </xf>
    <xf numFmtId="0" fontId="87" fillId="0" borderId="1" xfId="0" applyFont="1" applyBorder="1" applyAlignment="1">
      <alignment horizontal="center" vertical="top" wrapText="1"/>
    </xf>
    <xf numFmtId="2" fontId="88" fillId="0" borderId="1" xfId="0" applyNumberFormat="1" applyFont="1" applyBorder="1" applyAlignment="1">
      <alignment horizontal="center" vertical="top" shrinkToFit="1"/>
    </xf>
    <xf numFmtId="1" fontId="89" fillId="0" borderId="1" xfId="0" applyNumberFormat="1" applyFont="1" applyBorder="1" applyAlignment="1">
      <alignment horizontal="center" vertical="top" shrinkToFit="1"/>
    </xf>
    <xf numFmtId="1" fontId="90" fillId="0" borderId="1" xfId="0" applyNumberFormat="1" applyFont="1" applyBorder="1" applyAlignment="1">
      <alignment horizontal="center" vertical="center" shrinkToFit="1"/>
    </xf>
    <xf numFmtId="1" fontId="91" fillId="0" borderId="1" xfId="0" applyNumberFormat="1" applyFont="1" applyBorder="1" applyAlignment="1">
      <alignment horizontal="center" vertical="center" shrinkToFit="1"/>
    </xf>
    <xf numFmtId="3" fontId="89" fillId="0" borderId="1" xfId="0" applyNumberFormat="1" applyFont="1" applyBorder="1" applyAlignment="1">
      <alignment horizontal="center" vertical="top" shrinkToFit="1"/>
    </xf>
    <xf numFmtId="3" fontId="5" fillId="0" borderId="1" xfId="0" applyNumberFormat="1" applyFont="1" applyBorder="1" applyAlignment="1">
      <alignment horizontal="center" vertical="top" shrinkToFit="1"/>
    </xf>
    <xf numFmtId="0" fontId="1" fillId="0" borderId="1" xfId="0" applyFont="1" applyBorder="1" applyAlignment="1">
      <alignment horizontal="center" wrapText="1"/>
    </xf>
    <xf numFmtId="1" fontId="92" fillId="0" borderId="1" xfId="0" applyNumberFormat="1" applyFont="1" applyBorder="1" applyAlignment="1">
      <alignment horizontal="center" vertical="top" shrinkToFit="1"/>
    </xf>
    <xf numFmtId="4" fontId="93" fillId="0" borderId="1" xfId="0" applyNumberFormat="1" applyFont="1" applyBorder="1" applyAlignment="1">
      <alignment horizontal="center" vertical="top" shrinkToFit="1"/>
    </xf>
    <xf numFmtId="2" fontId="1" fillId="0" borderId="0" xfId="0" applyNumberFormat="1" applyFont="1" applyAlignment="1">
      <alignment horizontal="center" vertical="center"/>
    </xf>
    <xf numFmtId="4" fontId="79" fillId="0" borderId="1" xfId="0" applyNumberFormat="1" applyFont="1" applyBorder="1" applyAlignment="1">
      <alignment horizontal="center" vertical="top" shrinkToFit="1"/>
    </xf>
    <xf numFmtId="0" fontId="0" fillId="0" borderId="9" xfId="0" applyBorder="1" applyAlignment="1">
      <alignment vertical="center"/>
    </xf>
    <xf numFmtId="0" fontId="0" fillId="0" borderId="10" xfId="0" applyBorder="1" applyAlignment="1">
      <alignment vertical="center"/>
    </xf>
    <xf numFmtId="0" fontId="1" fillId="0" borderId="9" xfId="0" applyFont="1" applyBorder="1" applyAlignment="1">
      <alignment vertical="center"/>
    </xf>
    <xf numFmtId="167" fontId="0" fillId="0" borderId="10" xfId="0" applyNumberFormat="1" applyBorder="1" applyAlignment="1">
      <alignment vertical="center"/>
    </xf>
    <xf numFmtId="167" fontId="1" fillId="0" borderId="10" xfId="0" applyNumberFormat="1" applyFont="1" applyBorder="1" applyAlignment="1">
      <alignment vertical="center"/>
    </xf>
    <xf numFmtId="0" fontId="0" fillId="0" borderId="11" xfId="0" applyBorder="1" applyAlignment="1">
      <alignment vertical="center"/>
    </xf>
    <xf numFmtId="0" fontId="1" fillId="0" borderId="12" xfId="0" applyFont="1" applyBorder="1" applyAlignment="1">
      <alignment horizontal="center" vertical="center"/>
    </xf>
    <xf numFmtId="0" fontId="0" fillId="0" borderId="12" xfId="0" applyBorder="1" applyAlignment="1">
      <alignment horizontal="center" vertical="center"/>
    </xf>
    <xf numFmtId="43" fontId="0" fillId="0" borderId="12" xfId="3" applyFont="1" applyFill="1" applyBorder="1" applyAlignment="1">
      <alignment vertical="center"/>
    </xf>
    <xf numFmtId="167" fontId="0" fillId="0" borderId="12" xfId="3" applyNumberFormat="1" applyFont="1" applyFill="1" applyBorder="1" applyAlignment="1" applyProtection="1">
      <alignment vertical="center"/>
      <protection locked="0"/>
    </xf>
    <xf numFmtId="167" fontId="0" fillId="0" borderId="12" xfId="0" applyNumberFormat="1" applyBorder="1" applyAlignment="1">
      <alignment vertical="center"/>
    </xf>
    <xf numFmtId="167" fontId="1" fillId="0" borderId="13" xfId="0" applyNumberFormat="1" applyFont="1" applyBorder="1" applyAlignment="1">
      <alignment vertical="center"/>
    </xf>
    <xf numFmtId="0" fontId="95" fillId="0" borderId="9" xfId="0" applyFont="1" applyBorder="1" applyAlignment="1">
      <alignment horizontal="center" vertical="center"/>
    </xf>
    <xf numFmtId="164" fontId="1" fillId="0" borderId="1" xfId="4" applyFont="1" applyFill="1" applyBorder="1" applyAlignment="1" applyProtection="1">
      <alignment vertical="center" wrapText="1"/>
    </xf>
    <xf numFmtId="0" fontId="13" fillId="0" borderId="1" xfId="0" applyFont="1" applyBorder="1" applyAlignment="1">
      <alignment horizontal="center" wrapText="1"/>
    </xf>
    <xf numFmtId="164" fontId="16" fillId="0" borderId="1" xfId="4" applyFont="1" applyFill="1" applyBorder="1" applyAlignment="1" applyProtection="1">
      <alignment horizontal="center" vertical="top" wrapText="1"/>
    </xf>
    <xf numFmtId="0" fontId="0" fillId="0" borderId="1" xfId="0" applyBorder="1" applyAlignment="1">
      <alignment vertical="center" wrapText="1"/>
    </xf>
    <xf numFmtId="164" fontId="1" fillId="0" borderId="9" xfId="4" applyFont="1" applyFill="1" applyBorder="1" applyAlignment="1" applyProtection="1">
      <alignment vertical="center"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94" fillId="0" borderId="0" xfId="0" applyFont="1" applyAlignment="1">
      <alignment vertical="center"/>
    </xf>
    <xf numFmtId="0" fontId="2" fillId="0" borderId="14" xfId="0" applyFont="1" applyBorder="1" applyAlignment="1">
      <alignment horizontal="center" vertical="center" wrapText="1"/>
    </xf>
    <xf numFmtId="0" fontId="2" fillId="0" borderId="15" xfId="0" applyFont="1" applyBorder="1" applyAlignment="1">
      <alignment horizontal="center" vertical="center" wrapText="1"/>
    </xf>
    <xf numFmtId="0" fontId="2" fillId="0" borderId="16" xfId="0" applyFont="1" applyBorder="1" applyAlignment="1">
      <alignment horizontal="center" vertical="center" wrapText="1"/>
    </xf>
    <xf numFmtId="0" fontId="95" fillId="0" borderId="1" xfId="0" applyFont="1" applyBorder="1" applyAlignment="1">
      <alignment horizontal="left" vertical="center" wrapText="1"/>
    </xf>
    <xf numFmtId="0" fontId="95" fillId="0" borderId="10" xfId="0" applyFont="1" applyBorder="1" applyAlignment="1">
      <alignment horizontal="left" vertical="center" wrapText="1"/>
    </xf>
    <xf numFmtId="164" fontId="1" fillId="0" borderId="1" xfId="4" applyFont="1" applyFill="1" applyBorder="1" applyAlignment="1" applyProtection="1">
      <alignment horizontal="center" vertical="center" wrapText="1"/>
    </xf>
    <xf numFmtId="164" fontId="1" fillId="0" borderId="10" xfId="4" applyFont="1" applyFill="1" applyBorder="1" applyAlignment="1" applyProtection="1">
      <alignment horizontal="center" vertical="center" wrapText="1"/>
    </xf>
    <xf numFmtId="0" fontId="1" fillId="0" borderId="1" xfId="0" applyFont="1" applyBorder="1" applyAlignment="1">
      <alignment horizontal="center" vertical="center"/>
    </xf>
    <xf numFmtId="2" fontId="2" fillId="0" borderId="1" xfId="0" applyNumberFormat="1" applyFont="1" applyBorder="1" applyAlignment="1">
      <alignment horizontal="left" vertical="center"/>
    </xf>
    <xf numFmtId="2" fontId="2" fillId="0" borderId="1" xfId="0" applyNumberFormat="1" applyFont="1" applyBorder="1" applyAlignment="1">
      <alignment horizontal="left"/>
    </xf>
    <xf numFmtId="2" fontId="8" fillId="0" borderId="1" xfId="0" applyNumberFormat="1" applyFont="1" applyBorder="1" applyAlignment="1">
      <alignment horizontal="left" vertical="center"/>
    </xf>
    <xf numFmtId="2" fontId="1" fillId="0" borderId="1" xfId="0" applyNumberFormat="1" applyFont="1" applyBorder="1" applyAlignment="1">
      <alignment horizontal="center" vertical="center"/>
    </xf>
    <xf numFmtId="2" fontId="2" fillId="0" borderId="1" xfId="0" applyNumberFormat="1" applyFont="1" applyBorder="1" applyAlignment="1">
      <alignment horizontal="center" vertical="center"/>
    </xf>
    <xf numFmtId="165" fontId="1" fillId="0" borderId="1" xfId="0" applyNumberFormat="1" applyFont="1" applyBorder="1" applyAlignment="1">
      <alignment horizontal="center" vertical="center"/>
    </xf>
    <xf numFmtId="0" fontId="0" fillId="0" borderId="0" xfId="0" applyAlignment="1">
      <alignment horizontal="center" vertical="center"/>
    </xf>
    <xf numFmtId="0" fontId="62" fillId="0" borderId="0" xfId="0" applyFont="1" applyAlignment="1">
      <alignment horizontal="center" vertical="center" wrapText="1"/>
    </xf>
    <xf numFmtId="0" fontId="1" fillId="0" borderId="0" xfId="0" applyFont="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0" fillId="0" borderId="5" xfId="0" applyBorder="1" applyAlignment="1">
      <alignment horizontal="center" vertical="center"/>
    </xf>
    <xf numFmtId="0" fontId="66" fillId="0" borderId="1" xfId="0" applyFont="1" applyBorder="1" applyAlignment="1">
      <alignment horizontal="center" vertical="center"/>
    </xf>
    <xf numFmtId="0" fontId="68" fillId="0" borderId="0" xfId="0" applyFont="1" applyAlignment="1">
      <alignment horizontal="center" vertical="center" wrapText="1"/>
    </xf>
    <xf numFmtId="2" fontId="63" fillId="0" borderId="0" xfId="0" applyNumberFormat="1" applyFont="1" applyAlignment="1">
      <alignment horizontal="center" vertical="center" wrapText="1"/>
    </xf>
    <xf numFmtId="0" fontId="69" fillId="0" borderId="0" xfId="0" applyFont="1" applyAlignment="1">
      <alignment horizontal="center" vertical="center" wrapText="1"/>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0" fillId="0" borderId="1" xfId="0" applyBorder="1" applyAlignment="1">
      <alignment horizontal="center" vertical="center"/>
    </xf>
    <xf numFmtId="0" fontId="65" fillId="0" borderId="1" xfId="0" applyFont="1" applyBorder="1" applyAlignment="1">
      <alignment horizontal="center" vertical="center"/>
    </xf>
    <xf numFmtId="0" fontId="8" fillId="0" borderId="7" xfId="0" applyFont="1" applyBorder="1" applyAlignment="1">
      <alignment horizontal="left" vertical="center"/>
    </xf>
    <xf numFmtId="0" fontId="64" fillId="2" borderId="0" xfId="5" applyFont="1" applyFill="1" applyAlignment="1">
      <alignment horizontal="center" vertical="center" wrapText="1"/>
    </xf>
  </cellXfs>
  <cellStyles count="7">
    <cellStyle name="Comma" xfId="3" builtinId="3"/>
    <cellStyle name="Comma 6" xfId="4" xr:uid="{68052E28-68DB-49C9-B259-A0A216CE0C88}"/>
    <cellStyle name="Normal" xfId="0" builtinId="0"/>
    <cellStyle name="Normal 2" xfId="2" xr:uid="{5D053BFA-5F3B-44D2-BB6C-6497BA2C31E3}"/>
    <cellStyle name="Normal 2 2 2 2" xfId="6" xr:uid="{6095773A-15E6-4140-BBBD-8C9A75DD7269}"/>
    <cellStyle name="Normal 2 3" xfId="1" xr:uid="{823E65E5-A6AB-4BAD-A10A-11324CE196B2}"/>
    <cellStyle name="Normal 3" xfId="5" xr:uid="{AA5E6052-6249-47C0-BF34-27900CAD69C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0</xdr:colOff>
      <xdr:row>195</xdr:row>
      <xdr:rowOff>19811</xdr:rowOff>
    </xdr:from>
    <xdr:ext cx="12187" cy="164591"/>
    <xdr:pic>
      <xdr:nvPicPr>
        <xdr:cNvPr id="2" name="image16.png">
          <a:extLst>
            <a:ext uri="{FF2B5EF4-FFF2-40B4-BE49-F238E27FC236}">
              <a16:creationId xmlns:a16="http://schemas.microsoft.com/office/drawing/2014/main" id="{E66E519C-C1FD-439C-9E97-D373AEDEA71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35900" y="45593761"/>
          <a:ext cx="12187" cy="164591"/>
        </a:xfrm>
        <a:prstGeom prst="rect">
          <a:avLst/>
        </a:prstGeom>
      </xdr:spPr>
    </xdr:pic>
    <xdr:clientData/>
  </xdr:oneCellAnchor>
  <xdr:oneCellAnchor>
    <xdr:from>
      <xdr:col>7</xdr:col>
      <xdr:colOff>0</xdr:colOff>
      <xdr:row>190</xdr:row>
      <xdr:rowOff>33528</xdr:rowOff>
    </xdr:from>
    <xdr:ext cx="6093" cy="85343"/>
    <xdr:pic>
      <xdr:nvPicPr>
        <xdr:cNvPr id="3" name="image17.png">
          <a:extLst>
            <a:ext uri="{FF2B5EF4-FFF2-40B4-BE49-F238E27FC236}">
              <a16:creationId xmlns:a16="http://schemas.microsoft.com/office/drawing/2014/main" id="{B40ED514-FC87-4808-82E6-77523339E5B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35900" y="44686728"/>
          <a:ext cx="6093" cy="85343"/>
        </a:xfrm>
        <a:prstGeom prst="rect">
          <a:avLst/>
        </a:prstGeom>
      </xdr:spPr>
    </xdr:pic>
    <xdr:clientData/>
  </xdr:oneCellAnchor>
  <xdr:oneCellAnchor>
    <xdr:from>
      <xdr:col>7</xdr:col>
      <xdr:colOff>0</xdr:colOff>
      <xdr:row>197</xdr:row>
      <xdr:rowOff>56388</xdr:rowOff>
    </xdr:from>
    <xdr:ext cx="18281" cy="134111"/>
    <xdr:pic>
      <xdr:nvPicPr>
        <xdr:cNvPr id="4" name="image18.png">
          <a:extLst>
            <a:ext uri="{FF2B5EF4-FFF2-40B4-BE49-F238E27FC236}">
              <a16:creationId xmlns:a16="http://schemas.microsoft.com/office/drawing/2014/main" id="{0FFFBE82-602F-46E7-8A1C-1A1958E66B2C}"/>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835900" y="45998638"/>
          <a:ext cx="18281" cy="134111"/>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vishnu\new%20project\BID%20DOCUMENT%201%20OF%202\BOILER%20(14-08-2025)-%20BOQ.xlsx" TargetMode="External"/><Relationship Id="rId1" Type="http://schemas.openxmlformats.org/officeDocument/2006/relationships/externalLinkPath" Target="/Users/user/Desktop/vishnu/new%20project/BID%20DOCUMENT%201%20OF%202/BOILER%20(14-08-2025)-%20BOQ.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NNEXURE"/>
      <sheetName val="SUMMARY"/>
      <sheetName val="BOILER"/>
    </sheetNames>
    <sheetDataSet>
      <sheetData sheetId="0"/>
      <sheetData sheetId="1">
        <row r="12">
          <cell r="E12">
            <v>158.88249999999999</v>
          </cell>
        </row>
        <row r="13">
          <cell r="E13">
            <v>90.947000000000003</v>
          </cell>
        </row>
        <row r="14">
          <cell r="E14">
            <v>26.470000000000002</v>
          </cell>
        </row>
        <row r="16">
          <cell r="E16">
            <v>300</v>
          </cell>
        </row>
        <row r="17">
          <cell r="E17">
            <v>86.444925000000012</v>
          </cell>
        </row>
        <row r="20">
          <cell r="E20">
            <v>0</v>
          </cell>
        </row>
        <row r="21">
          <cell r="E21">
            <v>0</v>
          </cell>
        </row>
        <row r="24">
          <cell r="E24">
            <v>40.261875000000003</v>
          </cell>
        </row>
        <row r="26">
          <cell r="E26">
            <v>3.375</v>
          </cell>
        </row>
        <row r="31">
          <cell r="E31">
            <v>96.558999999999997</v>
          </cell>
        </row>
        <row r="32">
          <cell r="E32">
            <v>59.551000000000002</v>
          </cell>
        </row>
        <row r="33">
          <cell r="E33">
            <v>0</v>
          </cell>
        </row>
        <row r="35">
          <cell r="E35">
            <v>156.10999999999999</v>
          </cell>
        </row>
        <row r="37">
          <cell r="E37">
            <v>0</v>
          </cell>
        </row>
        <row r="39">
          <cell r="E39">
            <v>2.625</v>
          </cell>
        </row>
        <row r="40">
          <cell r="E40">
            <v>1</v>
          </cell>
        </row>
        <row r="42">
          <cell r="E42">
            <v>1</v>
          </cell>
        </row>
        <row r="43">
          <cell r="E43">
            <v>1</v>
          </cell>
        </row>
        <row r="44">
          <cell r="E44">
            <v>1</v>
          </cell>
        </row>
        <row r="46">
          <cell r="E46">
            <v>1</v>
          </cell>
        </row>
        <row r="47">
          <cell r="E47">
            <v>1</v>
          </cell>
        </row>
        <row r="48">
          <cell r="E48">
            <v>1</v>
          </cell>
        </row>
        <row r="51">
          <cell r="E51">
            <v>1308.8000000000002</v>
          </cell>
        </row>
        <row r="52">
          <cell r="E52">
            <v>577.32000000000005</v>
          </cell>
        </row>
        <row r="53">
          <cell r="E53">
            <v>0</v>
          </cell>
        </row>
        <row r="55">
          <cell r="E55">
            <v>1.03</v>
          </cell>
        </row>
        <row r="56">
          <cell r="E56">
            <v>1.03</v>
          </cell>
        </row>
        <row r="57">
          <cell r="E57">
            <v>5.0999999999999996</v>
          </cell>
        </row>
        <row r="59">
          <cell r="E59">
            <v>34</v>
          </cell>
        </row>
        <row r="60">
          <cell r="E60">
            <v>10.337500000000002</v>
          </cell>
        </row>
        <row r="62">
          <cell r="E62">
            <v>0</v>
          </cell>
        </row>
        <row r="63">
          <cell r="E63">
            <v>50</v>
          </cell>
        </row>
        <row r="66">
          <cell r="E66">
            <v>0</v>
          </cell>
        </row>
        <row r="67">
          <cell r="E67">
            <v>0</v>
          </cell>
        </row>
        <row r="69">
          <cell r="E69">
            <v>0</v>
          </cell>
        </row>
        <row r="71">
          <cell r="E71">
            <v>1.03</v>
          </cell>
        </row>
        <row r="72">
          <cell r="E72">
            <v>0</v>
          </cell>
        </row>
        <row r="74">
          <cell r="E74">
            <v>0</v>
          </cell>
        </row>
        <row r="75">
          <cell r="E75">
            <v>16.899999999999999</v>
          </cell>
        </row>
        <row r="76">
          <cell r="E76">
            <v>1.03</v>
          </cell>
        </row>
        <row r="78">
          <cell r="E78">
            <v>1.03</v>
          </cell>
        </row>
        <row r="79">
          <cell r="E79">
            <v>1.03</v>
          </cell>
        </row>
        <row r="80">
          <cell r="E80">
            <v>1.03</v>
          </cell>
        </row>
        <row r="83">
          <cell r="E83">
            <v>1.03</v>
          </cell>
        </row>
        <row r="84">
          <cell r="E84">
            <v>1.03</v>
          </cell>
        </row>
        <row r="85">
          <cell r="E85">
            <v>1.03</v>
          </cell>
        </row>
        <row r="88">
          <cell r="E88">
            <v>0.80960000000000021</v>
          </cell>
        </row>
        <row r="90">
          <cell r="E90">
            <v>36.235035999999958</v>
          </cell>
        </row>
        <row r="93">
          <cell r="E93">
            <v>70.387999999999991</v>
          </cell>
        </row>
        <row r="94">
          <cell r="E94">
            <v>0</v>
          </cell>
        </row>
        <row r="97">
          <cell r="E97">
            <v>1</v>
          </cell>
        </row>
        <row r="98">
          <cell r="E98">
            <v>1.03</v>
          </cell>
        </row>
        <row r="100">
          <cell r="E100">
            <v>1.03</v>
          </cell>
        </row>
        <row r="101">
          <cell r="E101">
            <v>1.03</v>
          </cell>
        </row>
        <row r="102">
          <cell r="E102">
            <v>1.03</v>
          </cell>
        </row>
        <row r="104">
          <cell r="E104">
            <v>0</v>
          </cell>
        </row>
        <row r="105">
          <cell r="E105">
            <v>0</v>
          </cell>
        </row>
        <row r="106">
          <cell r="E106">
            <v>0</v>
          </cell>
        </row>
        <row r="110">
          <cell r="E110">
            <v>0</v>
          </cell>
        </row>
        <row r="112">
          <cell r="E112">
            <v>0</v>
          </cell>
        </row>
        <row r="114">
          <cell r="E114">
            <v>1</v>
          </cell>
        </row>
        <row r="115">
          <cell r="E115">
            <v>1</v>
          </cell>
        </row>
        <row r="116">
          <cell r="E116">
            <v>0</v>
          </cell>
        </row>
        <row r="117">
          <cell r="E117">
            <v>0</v>
          </cell>
        </row>
        <row r="124">
          <cell r="E124">
            <v>0</v>
          </cell>
        </row>
        <row r="126">
          <cell r="E126">
            <v>0</v>
          </cell>
        </row>
        <row r="128">
          <cell r="E128">
            <v>18.86</v>
          </cell>
        </row>
        <row r="129">
          <cell r="E129">
            <v>18.86</v>
          </cell>
        </row>
        <row r="130">
          <cell r="E130">
            <v>11.315999999999999</v>
          </cell>
        </row>
        <row r="132">
          <cell r="E132">
            <v>2.52</v>
          </cell>
        </row>
        <row r="133">
          <cell r="E133">
            <v>0</v>
          </cell>
        </row>
        <row r="137">
          <cell r="E137">
            <v>517.34499999999991</v>
          </cell>
        </row>
        <row r="138">
          <cell r="E138">
            <v>351.93999999999994</v>
          </cell>
        </row>
        <row r="139">
          <cell r="E139">
            <v>208.66</v>
          </cell>
        </row>
        <row r="141">
          <cell r="E141">
            <v>351.93999999999994</v>
          </cell>
        </row>
        <row r="142">
          <cell r="E142">
            <v>517.34499999999991</v>
          </cell>
        </row>
        <row r="146">
          <cell r="E146">
            <v>0</v>
          </cell>
        </row>
        <row r="147">
          <cell r="E147">
            <v>0</v>
          </cell>
        </row>
        <row r="148">
          <cell r="E148">
            <v>425.94000000000005</v>
          </cell>
        </row>
        <row r="149">
          <cell r="E149">
            <v>0</v>
          </cell>
        </row>
        <row r="151">
          <cell r="E151">
            <v>438.71820000000008</v>
          </cell>
        </row>
        <row r="153">
          <cell r="E153">
            <v>438.71820000000008</v>
          </cell>
        </row>
        <row r="154">
          <cell r="E154">
            <v>0</v>
          </cell>
        </row>
        <row r="156">
          <cell r="E156">
            <v>15.899999999999999</v>
          </cell>
        </row>
        <row r="158">
          <cell r="E158">
            <v>0</v>
          </cell>
        </row>
        <row r="159">
          <cell r="E159">
            <v>0</v>
          </cell>
        </row>
        <row r="160">
          <cell r="E160">
            <v>0</v>
          </cell>
        </row>
        <row r="161">
          <cell r="E161">
            <v>0</v>
          </cell>
        </row>
        <row r="162">
          <cell r="E162">
            <v>0</v>
          </cell>
        </row>
        <row r="163">
          <cell r="E163">
            <v>0</v>
          </cell>
        </row>
        <row r="164">
          <cell r="E164">
            <v>0</v>
          </cell>
        </row>
        <row r="165">
          <cell r="E165">
            <v>0</v>
          </cell>
        </row>
        <row r="166">
          <cell r="E166">
            <v>0</v>
          </cell>
        </row>
        <row r="167">
          <cell r="E167">
            <v>0</v>
          </cell>
        </row>
        <row r="168">
          <cell r="E168">
            <v>0</v>
          </cell>
        </row>
        <row r="169">
          <cell r="E169">
            <v>0</v>
          </cell>
        </row>
      </sheetData>
      <sheetData sheetId="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FD2AD-8528-4482-8CF8-983833A0DB88}">
  <dimension ref="A1:R204"/>
  <sheetViews>
    <sheetView view="pageBreakPreview" zoomScaleNormal="100" zoomScaleSheetLayoutView="100" workbookViewId="0">
      <selection activeCell="J27" sqref="J27"/>
    </sheetView>
  </sheetViews>
  <sheetFormatPr defaultColWidth="8.81640625" defaultRowHeight="14.5"/>
  <cols>
    <col min="1" max="1" width="9" style="29" bestFit="1" customWidth="1"/>
    <col min="2" max="2" width="55.1796875" style="29" customWidth="1"/>
    <col min="3" max="3" width="5.453125" style="29" customWidth="1"/>
    <col min="4" max="4" width="13.81640625" style="29" hidden="1" customWidth="1"/>
    <col min="5" max="5" width="8.54296875" style="29" bestFit="1" customWidth="1"/>
    <col min="6" max="6" width="11.453125" style="29" hidden="1" customWidth="1"/>
    <col min="7" max="7" width="8.54296875" style="29" bestFit="1" customWidth="1"/>
    <col min="8" max="8" width="11.453125" style="29" bestFit="1" customWidth="1"/>
    <col min="9" max="9" width="8.81640625" style="29"/>
    <col min="10" max="10" width="11.1796875" style="29" bestFit="1" customWidth="1"/>
    <col min="11" max="11" width="12.1796875" style="29" bestFit="1" customWidth="1"/>
    <col min="12" max="16384" width="8.81640625" style="29"/>
  </cols>
  <sheetData>
    <row r="1" spans="1:18" ht="28.5" customHeight="1">
      <c r="A1" s="213" t="s">
        <v>47</v>
      </c>
      <c r="B1" s="214"/>
      <c r="C1" s="214"/>
      <c r="D1" s="214"/>
      <c r="E1" s="214"/>
      <c r="F1" s="214"/>
      <c r="G1" s="214"/>
      <c r="H1" s="215"/>
    </row>
    <row r="2" spans="1:18" ht="64" customHeight="1">
      <c r="A2" s="204" t="s">
        <v>488</v>
      </c>
      <c r="B2" s="216" t="s">
        <v>491</v>
      </c>
      <c r="C2" s="216"/>
      <c r="D2" s="216"/>
      <c r="E2" s="216"/>
      <c r="F2" s="216"/>
      <c r="G2" s="216"/>
      <c r="H2" s="217"/>
    </row>
    <row r="3" spans="1:18" ht="122" customHeight="1">
      <c r="A3" s="204" t="s">
        <v>489</v>
      </c>
      <c r="B3" s="216" t="s">
        <v>492</v>
      </c>
      <c r="C3" s="216"/>
      <c r="D3" s="216"/>
      <c r="E3" s="216"/>
      <c r="F3" s="216"/>
      <c r="G3" s="216"/>
      <c r="H3" s="217"/>
    </row>
    <row r="4" spans="1:18" ht="24" customHeight="1">
      <c r="A4" s="209"/>
      <c r="B4" s="206" t="s">
        <v>490</v>
      </c>
      <c r="C4" s="205"/>
      <c r="D4" s="207"/>
      <c r="E4" s="218" t="s">
        <v>48</v>
      </c>
      <c r="F4" s="218"/>
      <c r="G4" s="218" t="s">
        <v>400</v>
      </c>
      <c r="H4" s="219"/>
    </row>
    <row r="5" spans="1:18" s="34" customFormat="1" ht="29">
      <c r="A5" s="210" t="s">
        <v>49</v>
      </c>
      <c r="B5" s="11" t="s">
        <v>1</v>
      </c>
      <c r="C5" s="11" t="s">
        <v>50</v>
      </c>
      <c r="D5" s="33" t="s">
        <v>51</v>
      </c>
      <c r="E5" s="11" t="s">
        <v>398</v>
      </c>
      <c r="F5" s="11" t="s">
        <v>399</v>
      </c>
      <c r="G5" s="11" t="s">
        <v>397</v>
      </c>
      <c r="H5" s="211" t="s">
        <v>52</v>
      </c>
    </row>
    <row r="6" spans="1:18">
      <c r="A6" s="192"/>
      <c r="B6" s="208"/>
      <c r="C6" s="5"/>
      <c r="D6" s="36"/>
      <c r="E6" s="35"/>
      <c r="F6" s="35"/>
      <c r="G6" s="35"/>
      <c r="H6" s="193"/>
      <c r="L6" s="212"/>
      <c r="M6" s="212"/>
      <c r="N6" s="212"/>
      <c r="O6" s="212"/>
      <c r="P6" s="212"/>
      <c r="Q6" s="212"/>
      <c r="R6" s="212"/>
    </row>
    <row r="7" spans="1:18">
      <c r="A7" s="194" t="s">
        <v>53</v>
      </c>
      <c r="B7" s="37" t="s">
        <v>54</v>
      </c>
      <c r="C7" s="5"/>
      <c r="D7" s="36"/>
      <c r="E7" s="35"/>
      <c r="F7" s="35"/>
      <c r="G7" s="35"/>
      <c r="H7" s="193"/>
    </row>
    <row r="8" spans="1:18">
      <c r="A8" s="192" t="s">
        <v>55</v>
      </c>
      <c r="B8" s="38" t="s">
        <v>56</v>
      </c>
      <c r="C8" s="5"/>
      <c r="D8" s="36"/>
      <c r="E8" s="35"/>
      <c r="F8" s="35"/>
      <c r="G8" s="35"/>
      <c r="H8" s="193"/>
    </row>
    <row r="9" spans="1:18">
      <c r="A9" s="192" t="s">
        <v>57</v>
      </c>
      <c r="B9" s="38" t="s">
        <v>58</v>
      </c>
      <c r="C9" s="5" t="s">
        <v>59</v>
      </c>
      <c r="D9" s="36">
        <f>[1]SUMMARY!E12</f>
        <v>158.88249999999999</v>
      </c>
      <c r="E9" s="49">
        <v>200</v>
      </c>
      <c r="F9" s="39">
        <f t="shared" ref="F9:F24" si="0">D9*E9</f>
        <v>31776.5</v>
      </c>
      <c r="G9" s="154">
        <f>Excavation!J10</f>
        <v>351.74879999999996</v>
      </c>
      <c r="H9" s="195">
        <f>G9*E9</f>
        <v>70349.759999999995</v>
      </c>
    </row>
    <row r="10" spans="1:18">
      <c r="A10" s="192" t="s">
        <v>60</v>
      </c>
      <c r="B10" s="38" t="s">
        <v>61</v>
      </c>
      <c r="C10" s="5" t="s">
        <v>59</v>
      </c>
      <c r="D10" s="36">
        <f>[1]SUMMARY!E13</f>
        <v>90.947000000000003</v>
      </c>
      <c r="E10" s="50">
        <v>270</v>
      </c>
      <c r="F10" s="39">
        <f t="shared" si="0"/>
        <v>24555.690000000002</v>
      </c>
      <c r="G10" s="155">
        <f>Excavation!J20</f>
        <v>308.36644799999942</v>
      </c>
      <c r="H10" s="195">
        <f t="shared" ref="H10:H71" si="1">G10*E10</f>
        <v>83258.940959999847</v>
      </c>
    </row>
    <row r="11" spans="1:18">
      <c r="A11" s="192" t="s">
        <v>62</v>
      </c>
      <c r="B11" s="38" t="s">
        <v>63</v>
      </c>
      <c r="C11" s="5" t="s">
        <v>59</v>
      </c>
      <c r="D11" s="36">
        <f>[1]SUMMARY!E14</f>
        <v>26.470000000000002</v>
      </c>
      <c r="E11" s="50">
        <v>350</v>
      </c>
      <c r="F11" s="39">
        <f t="shared" si="0"/>
        <v>9264.5</v>
      </c>
      <c r="G11" s="156"/>
      <c r="H11" s="195">
        <f t="shared" si="1"/>
        <v>0</v>
      </c>
    </row>
    <row r="12" spans="1:18" ht="16.25" hidden="1" customHeight="1">
      <c r="A12" s="192" t="s">
        <v>64</v>
      </c>
      <c r="B12" s="38" t="s">
        <v>65</v>
      </c>
      <c r="C12" s="5" t="s">
        <v>66</v>
      </c>
      <c r="D12" s="36">
        <f>[1]SUMMARY!E16</f>
        <v>300</v>
      </c>
      <c r="E12" s="51">
        <v>120</v>
      </c>
      <c r="F12" s="39">
        <f t="shared" si="0"/>
        <v>36000</v>
      </c>
      <c r="G12" s="157"/>
      <c r="H12" s="195">
        <f t="shared" si="1"/>
        <v>0</v>
      </c>
    </row>
    <row r="13" spans="1:18" ht="16.25" hidden="1" customHeight="1">
      <c r="A13" s="192" t="s">
        <v>67</v>
      </c>
      <c r="B13" s="38" t="s">
        <v>68</v>
      </c>
      <c r="C13" s="5" t="s">
        <v>59</v>
      </c>
      <c r="D13" s="36">
        <f>[1]SUMMARY!E17</f>
        <v>86.444925000000012</v>
      </c>
      <c r="E13" s="52">
        <v>135</v>
      </c>
      <c r="F13" s="39">
        <f t="shared" si="0"/>
        <v>11670.064875000002</v>
      </c>
      <c r="G13" s="158"/>
      <c r="H13" s="195">
        <f t="shared" si="1"/>
        <v>0</v>
      </c>
    </row>
    <row r="14" spans="1:18" ht="16.25" hidden="1" customHeight="1">
      <c r="A14" s="192" t="s">
        <v>69</v>
      </c>
      <c r="B14" s="38" t="s">
        <v>70</v>
      </c>
      <c r="C14" s="5" t="s">
        <v>59</v>
      </c>
      <c r="D14" s="36">
        <v>1856</v>
      </c>
      <c r="E14" s="53">
        <v>550</v>
      </c>
      <c r="F14" s="39">
        <f t="shared" si="0"/>
        <v>1020800</v>
      </c>
      <c r="G14" s="159"/>
      <c r="H14" s="195">
        <f t="shared" si="1"/>
        <v>0</v>
      </c>
    </row>
    <row r="15" spans="1:18" ht="16.25" hidden="1" customHeight="1">
      <c r="A15" s="192" t="s">
        <v>71</v>
      </c>
      <c r="B15" s="38" t="s">
        <v>72</v>
      </c>
      <c r="C15" s="5"/>
      <c r="D15" s="36">
        <v>0</v>
      </c>
      <c r="E15" s="54"/>
      <c r="F15" s="39">
        <f t="shared" si="0"/>
        <v>0</v>
      </c>
      <c r="G15" s="160"/>
      <c r="H15" s="195">
        <f t="shared" si="1"/>
        <v>0</v>
      </c>
    </row>
    <row r="16" spans="1:18" ht="16.25" hidden="1" customHeight="1">
      <c r="A16" s="192" t="s">
        <v>73</v>
      </c>
      <c r="B16" s="38" t="s">
        <v>74</v>
      </c>
      <c r="C16" s="5" t="s">
        <v>59</v>
      </c>
      <c r="D16" s="36">
        <f>[1]SUMMARY!E20</f>
        <v>0</v>
      </c>
      <c r="E16" s="55"/>
      <c r="F16" s="39">
        <f t="shared" si="0"/>
        <v>0</v>
      </c>
      <c r="G16" s="161"/>
      <c r="H16" s="195">
        <f t="shared" si="1"/>
        <v>0</v>
      </c>
    </row>
    <row r="17" spans="1:10" ht="16.25" hidden="1" customHeight="1">
      <c r="A17" s="192" t="s">
        <v>75</v>
      </c>
      <c r="B17" s="38" t="s">
        <v>76</v>
      </c>
      <c r="C17" s="5" t="s">
        <v>59</v>
      </c>
      <c r="D17" s="36">
        <f>[1]SUMMARY!E21</f>
        <v>0</v>
      </c>
      <c r="E17" s="56"/>
      <c r="F17" s="39">
        <f t="shared" si="0"/>
        <v>0</v>
      </c>
      <c r="G17" s="162"/>
      <c r="H17" s="195">
        <f t="shared" si="1"/>
        <v>0</v>
      </c>
    </row>
    <row r="18" spans="1:10" ht="16.25" hidden="1" customHeight="1">
      <c r="A18" s="192" t="s">
        <v>77</v>
      </c>
      <c r="B18" s="38" t="s">
        <v>78</v>
      </c>
      <c r="C18" s="5" t="s">
        <v>66</v>
      </c>
      <c r="D18" s="36">
        <v>0</v>
      </c>
      <c r="E18" s="49"/>
      <c r="F18" s="39">
        <f t="shared" si="0"/>
        <v>0</v>
      </c>
      <c r="G18" s="163"/>
      <c r="H18" s="195">
        <f t="shared" si="1"/>
        <v>0</v>
      </c>
    </row>
    <row r="19" spans="1:10" ht="16.25" hidden="1" customHeight="1">
      <c r="A19" s="192"/>
      <c r="B19" s="38"/>
      <c r="C19" s="5"/>
      <c r="D19" s="36">
        <v>0</v>
      </c>
      <c r="E19" s="57"/>
      <c r="F19" s="39">
        <f t="shared" si="0"/>
        <v>0</v>
      </c>
      <c r="G19" s="164"/>
      <c r="H19" s="195">
        <f t="shared" si="1"/>
        <v>0</v>
      </c>
    </row>
    <row r="20" spans="1:10">
      <c r="A20" s="194" t="s">
        <v>79</v>
      </c>
      <c r="B20" s="37" t="s">
        <v>80</v>
      </c>
      <c r="C20" s="5"/>
      <c r="D20" s="36">
        <v>0</v>
      </c>
      <c r="E20" s="57"/>
      <c r="F20" s="39">
        <f t="shared" si="0"/>
        <v>0</v>
      </c>
      <c r="G20" s="164"/>
      <c r="H20" s="195">
        <f t="shared" si="1"/>
        <v>0</v>
      </c>
    </row>
    <row r="21" spans="1:10">
      <c r="A21" s="192" t="s">
        <v>81</v>
      </c>
      <c r="B21" s="38" t="s">
        <v>82</v>
      </c>
      <c r="C21" s="5"/>
      <c r="D21" s="36">
        <v>0</v>
      </c>
      <c r="E21" s="58"/>
      <c r="F21" s="39">
        <f t="shared" si="0"/>
        <v>0</v>
      </c>
      <c r="G21" s="165"/>
      <c r="H21" s="195">
        <f t="shared" si="1"/>
        <v>0</v>
      </c>
    </row>
    <row r="22" spans="1:10">
      <c r="A22" s="192" t="s">
        <v>83</v>
      </c>
      <c r="B22" s="38" t="s">
        <v>84</v>
      </c>
      <c r="C22" s="5" t="s">
        <v>59</v>
      </c>
      <c r="D22" s="36">
        <f>[1]SUMMARY!E24</f>
        <v>40.261875000000003</v>
      </c>
      <c r="E22" s="59">
        <v>6000</v>
      </c>
      <c r="F22" s="39">
        <f t="shared" si="0"/>
        <v>241571.25000000003</v>
      </c>
      <c r="G22" s="166">
        <f>'Pcc &amp; Rcc'!G30</f>
        <v>28.448289999999997</v>
      </c>
      <c r="H22" s="195">
        <f t="shared" si="1"/>
        <v>170689.74</v>
      </c>
    </row>
    <row r="23" spans="1:10">
      <c r="A23" s="192" t="s">
        <v>85</v>
      </c>
      <c r="B23" s="38" t="s">
        <v>86</v>
      </c>
      <c r="C23" s="5" t="s">
        <v>59</v>
      </c>
      <c r="D23" s="36">
        <f>[1]SUMMARY!E26</f>
        <v>3.375</v>
      </c>
      <c r="E23" s="60">
        <v>6500</v>
      </c>
      <c r="F23" s="39">
        <f t="shared" si="0"/>
        <v>21937.5</v>
      </c>
      <c r="G23" s="167"/>
      <c r="H23" s="195">
        <f t="shared" si="1"/>
        <v>0</v>
      </c>
    </row>
    <row r="24" spans="1:10" ht="29">
      <c r="A24" s="192" t="s">
        <v>87</v>
      </c>
      <c r="B24" s="38" t="s">
        <v>88</v>
      </c>
      <c r="C24" s="5"/>
      <c r="D24" s="36">
        <v>0</v>
      </c>
      <c r="E24" s="54"/>
      <c r="F24" s="39">
        <f t="shared" si="0"/>
        <v>0</v>
      </c>
      <c r="G24" s="160"/>
      <c r="H24" s="195">
        <f t="shared" si="1"/>
        <v>0</v>
      </c>
    </row>
    <row r="25" spans="1:10">
      <c r="A25" s="192" t="s">
        <v>89</v>
      </c>
      <c r="B25" s="38" t="s">
        <v>90</v>
      </c>
      <c r="C25" s="5" t="s">
        <v>59</v>
      </c>
      <c r="D25" s="36">
        <f>[1]SUMMARY!E31</f>
        <v>96.558999999999997</v>
      </c>
      <c r="E25" s="61">
        <v>7000</v>
      </c>
      <c r="F25" s="39">
        <f t="shared" ref="F25:F42" si="2">D25*E25</f>
        <v>675913</v>
      </c>
      <c r="G25" s="191">
        <f>'Pcc &amp; Rcc'!G62</f>
        <v>149.46197499999988</v>
      </c>
      <c r="H25" s="195">
        <f t="shared" si="1"/>
        <v>1046233.8249999991</v>
      </c>
    </row>
    <row r="26" spans="1:10">
      <c r="A26" s="192" t="s">
        <v>91</v>
      </c>
      <c r="B26" s="38" t="s">
        <v>92</v>
      </c>
      <c r="C26" s="5" t="s">
        <v>59</v>
      </c>
      <c r="D26" s="36">
        <f>[1]SUMMARY!E32</f>
        <v>59.551000000000002</v>
      </c>
      <c r="E26" s="59">
        <v>7200</v>
      </c>
      <c r="F26" s="39">
        <f t="shared" si="2"/>
        <v>428767.2</v>
      </c>
      <c r="G26" s="166">
        <f>'Pcc &amp; Rcc'!G87</f>
        <v>25.193979999999996</v>
      </c>
      <c r="H26" s="195">
        <f t="shared" si="1"/>
        <v>181396.65599999996</v>
      </c>
    </row>
    <row r="27" spans="1:10">
      <c r="A27" s="192" t="s">
        <v>93</v>
      </c>
      <c r="B27" s="38" t="s">
        <v>94</v>
      </c>
      <c r="C27" s="5" t="s">
        <v>59</v>
      </c>
      <c r="D27" s="36">
        <f>[1]SUMMARY!E33</f>
        <v>0</v>
      </c>
      <c r="E27" s="62"/>
      <c r="F27" s="39">
        <f t="shared" si="2"/>
        <v>0</v>
      </c>
      <c r="G27" s="169"/>
      <c r="H27" s="195">
        <f t="shared" si="1"/>
        <v>0</v>
      </c>
    </row>
    <row r="28" spans="1:10">
      <c r="A28" s="192" t="s">
        <v>95</v>
      </c>
      <c r="B28" s="38" t="s">
        <v>96</v>
      </c>
      <c r="C28" s="5" t="s">
        <v>59</v>
      </c>
      <c r="D28" s="36">
        <v>0</v>
      </c>
      <c r="E28" s="63"/>
      <c r="F28" s="39">
        <f t="shared" si="2"/>
        <v>0</v>
      </c>
      <c r="G28" s="170"/>
      <c r="H28" s="195">
        <f t="shared" si="1"/>
        <v>0</v>
      </c>
    </row>
    <row r="29" spans="1:10">
      <c r="A29" s="192" t="s">
        <v>97</v>
      </c>
      <c r="B29" s="38" t="s">
        <v>98</v>
      </c>
      <c r="C29" s="5"/>
      <c r="D29" s="36">
        <v>0</v>
      </c>
      <c r="E29" s="58"/>
      <c r="F29" s="39">
        <f t="shared" si="2"/>
        <v>0</v>
      </c>
      <c r="G29" s="165"/>
      <c r="H29" s="195">
        <f t="shared" si="1"/>
        <v>0</v>
      </c>
    </row>
    <row r="30" spans="1:10" ht="43.5">
      <c r="A30" s="192" t="s">
        <v>99</v>
      </c>
      <c r="B30" s="38" t="s">
        <v>100</v>
      </c>
      <c r="C30" s="5" t="s">
        <v>59</v>
      </c>
      <c r="D30" s="36">
        <f>[1]SUMMARY!E35</f>
        <v>156.10999999999999</v>
      </c>
      <c r="E30" s="64">
        <v>800</v>
      </c>
      <c r="F30" s="39">
        <f t="shared" si="2"/>
        <v>124887.99999999999</v>
      </c>
      <c r="G30" s="171">
        <f>G26+G25</f>
        <v>174.65595499999989</v>
      </c>
      <c r="H30" s="195">
        <f t="shared" si="1"/>
        <v>139724.76399999991</v>
      </c>
      <c r="J30" s="43"/>
    </row>
    <row r="31" spans="1:10" ht="58" hidden="1">
      <c r="A31" s="192" t="s">
        <v>101</v>
      </c>
      <c r="B31" s="38" t="s">
        <v>102</v>
      </c>
      <c r="C31" s="5"/>
      <c r="D31" s="36">
        <v>0</v>
      </c>
      <c r="E31" s="54"/>
      <c r="F31" s="39">
        <f t="shared" si="2"/>
        <v>0</v>
      </c>
      <c r="G31" s="160"/>
      <c r="H31" s="195">
        <f t="shared" si="1"/>
        <v>0</v>
      </c>
    </row>
    <row r="32" spans="1:10" hidden="1">
      <c r="A32" s="192" t="s">
        <v>103</v>
      </c>
      <c r="B32" s="38" t="s">
        <v>104</v>
      </c>
      <c r="C32" s="5" t="s">
        <v>66</v>
      </c>
      <c r="D32" s="36">
        <f>[1]SUMMARY!E37</f>
        <v>0</v>
      </c>
      <c r="E32" s="65"/>
      <c r="F32" s="39">
        <f t="shared" si="2"/>
        <v>0</v>
      </c>
      <c r="G32" s="172"/>
      <c r="H32" s="195">
        <f t="shared" si="1"/>
        <v>0</v>
      </c>
    </row>
    <row r="33" spans="1:8" hidden="1">
      <c r="A33" s="192" t="s">
        <v>103</v>
      </c>
      <c r="B33" s="38" t="s">
        <v>105</v>
      </c>
      <c r="C33" s="5" t="s">
        <v>66</v>
      </c>
      <c r="D33" s="36">
        <v>0</v>
      </c>
      <c r="E33" s="66"/>
      <c r="F33" s="39">
        <f t="shared" si="2"/>
        <v>0</v>
      </c>
      <c r="G33" s="173"/>
      <c r="H33" s="195">
        <f t="shared" si="1"/>
        <v>0</v>
      </c>
    </row>
    <row r="34" spans="1:8" hidden="1">
      <c r="A34" s="192" t="s">
        <v>106</v>
      </c>
      <c r="B34" s="38" t="s">
        <v>107</v>
      </c>
      <c r="C34" s="5"/>
      <c r="D34" s="36">
        <v>0</v>
      </c>
      <c r="E34" s="57"/>
      <c r="F34" s="39">
        <f t="shared" si="2"/>
        <v>0</v>
      </c>
      <c r="G34" s="164"/>
      <c r="H34" s="195">
        <f t="shared" si="1"/>
        <v>0</v>
      </c>
    </row>
    <row r="35" spans="1:8" ht="29" hidden="1">
      <c r="A35" s="192" t="s">
        <v>108</v>
      </c>
      <c r="B35" s="38" t="s">
        <v>109</v>
      </c>
      <c r="C35" s="5" t="s">
        <v>59</v>
      </c>
      <c r="D35" s="36">
        <f>[1]SUMMARY!E39</f>
        <v>2.625</v>
      </c>
      <c r="E35" s="67">
        <f>62000*105%</f>
        <v>65100</v>
      </c>
      <c r="F35" s="39">
        <f t="shared" si="2"/>
        <v>170887.5</v>
      </c>
      <c r="G35" s="174"/>
      <c r="H35" s="195">
        <f t="shared" si="1"/>
        <v>0</v>
      </c>
    </row>
    <row r="36" spans="1:8" hidden="1">
      <c r="A36" s="192" t="s">
        <v>110</v>
      </c>
      <c r="B36" s="38" t="s">
        <v>111</v>
      </c>
      <c r="C36" s="5" t="s">
        <v>59</v>
      </c>
      <c r="D36" s="36">
        <f>[1]SUMMARY!E40</f>
        <v>1</v>
      </c>
      <c r="E36" s="68">
        <v>7000</v>
      </c>
      <c r="F36" s="39">
        <f t="shared" si="2"/>
        <v>7000</v>
      </c>
      <c r="G36" s="175"/>
      <c r="H36" s="195">
        <f t="shared" si="1"/>
        <v>0</v>
      </c>
    </row>
    <row r="37" spans="1:8" hidden="1">
      <c r="A37" s="192" t="s">
        <v>112</v>
      </c>
      <c r="B37" s="38" t="s">
        <v>113</v>
      </c>
      <c r="C37" s="5"/>
      <c r="D37" s="36">
        <v>0</v>
      </c>
      <c r="E37" s="58"/>
      <c r="F37" s="39">
        <f t="shared" si="2"/>
        <v>0</v>
      </c>
      <c r="G37" s="165"/>
      <c r="H37" s="195">
        <f t="shared" si="1"/>
        <v>0</v>
      </c>
    </row>
    <row r="38" spans="1:8" hidden="1">
      <c r="A38" s="192" t="s">
        <v>114</v>
      </c>
      <c r="B38" s="38" t="s">
        <v>115</v>
      </c>
      <c r="C38" s="5" t="s">
        <v>116</v>
      </c>
      <c r="D38" s="36">
        <f>[1]SUMMARY!E42</f>
        <v>1</v>
      </c>
      <c r="E38" s="69">
        <v>2500</v>
      </c>
      <c r="F38" s="39">
        <f t="shared" si="2"/>
        <v>2500</v>
      </c>
      <c r="G38" s="176"/>
      <c r="H38" s="195">
        <f t="shared" si="1"/>
        <v>0</v>
      </c>
    </row>
    <row r="39" spans="1:8" hidden="1">
      <c r="A39" s="192" t="s">
        <v>117</v>
      </c>
      <c r="B39" s="38" t="s">
        <v>118</v>
      </c>
      <c r="C39" s="5" t="s">
        <v>116</v>
      </c>
      <c r="D39" s="36">
        <f>[1]SUMMARY!E43</f>
        <v>1</v>
      </c>
      <c r="E39" s="69">
        <v>2500</v>
      </c>
      <c r="F39" s="39">
        <f t="shared" si="2"/>
        <v>2500</v>
      </c>
      <c r="G39" s="176"/>
      <c r="H39" s="195">
        <f t="shared" si="1"/>
        <v>0</v>
      </c>
    </row>
    <row r="40" spans="1:8" hidden="1">
      <c r="A40" s="192" t="s">
        <v>119</v>
      </c>
      <c r="B40" s="38" t="s">
        <v>120</v>
      </c>
      <c r="C40" s="5" t="s">
        <v>116</v>
      </c>
      <c r="D40" s="36">
        <f>[1]SUMMARY!E44</f>
        <v>1</v>
      </c>
      <c r="E40" s="70">
        <v>3000</v>
      </c>
      <c r="F40" s="39">
        <f t="shared" si="2"/>
        <v>3000</v>
      </c>
      <c r="G40" s="177"/>
      <c r="H40" s="195">
        <f t="shared" si="1"/>
        <v>0</v>
      </c>
    </row>
    <row r="41" spans="1:8" hidden="1">
      <c r="A41" s="192" t="s">
        <v>121</v>
      </c>
      <c r="B41" s="38" t="s">
        <v>122</v>
      </c>
      <c r="C41" s="5"/>
      <c r="D41" s="36">
        <v>0</v>
      </c>
      <c r="E41" s="57"/>
      <c r="F41" s="39">
        <f t="shared" si="2"/>
        <v>0</v>
      </c>
      <c r="G41" s="164"/>
      <c r="H41" s="195">
        <f t="shared" si="1"/>
        <v>0</v>
      </c>
    </row>
    <row r="42" spans="1:8" hidden="1">
      <c r="A42" s="192" t="s">
        <v>123</v>
      </c>
      <c r="B42" s="38" t="s">
        <v>124</v>
      </c>
      <c r="C42" s="5" t="s">
        <v>116</v>
      </c>
      <c r="D42" s="36">
        <f>[1]SUMMARY!E46</f>
        <v>1</v>
      </c>
      <c r="E42" s="71">
        <v>3000</v>
      </c>
      <c r="F42" s="39">
        <f t="shared" si="2"/>
        <v>3000</v>
      </c>
      <c r="G42" s="178"/>
      <c r="H42" s="195">
        <f t="shared" si="1"/>
        <v>0</v>
      </c>
    </row>
    <row r="43" spans="1:8" hidden="1">
      <c r="A43" s="192"/>
      <c r="B43" s="38"/>
      <c r="C43" s="5"/>
      <c r="D43" s="36"/>
      <c r="E43" s="40"/>
      <c r="F43" s="39"/>
      <c r="G43" s="168"/>
      <c r="H43" s="195">
        <f t="shared" si="1"/>
        <v>0</v>
      </c>
    </row>
    <row r="44" spans="1:8" hidden="1">
      <c r="A44" s="192" t="s">
        <v>125</v>
      </c>
      <c r="B44" s="38" t="s">
        <v>126</v>
      </c>
      <c r="C44" s="5" t="s">
        <v>116</v>
      </c>
      <c r="D44" s="36">
        <f>[1]SUMMARY!E47</f>
        <v>1</v>
      </c>
      <c r="E44" s="72">
        <v>5000</v>
      </c>
      <c r="F44" s="39">
        <f t="shared" ref="F44:F64" si="3">D44*E44</f>
        <v>5000</v>
      </c>
      <c r="G44" s="179"/>
      <c r="H44" s="195">
        <f t="shared" si="1"/>
        <v>0</v>
      </c>
    </row>
    <row r="45" spans="1:8" hidden="1">
      <c r="A45" s="192" t="s">
        <v>127</v>
      </c>
      <c r="B45" s="38" t="s">
        <v>128</v>
      </c>
      <c r="C45" s="5" t="s">
        <v>116</v>
      </c>
      <c r="D45" s="36">
        <f>[1]SUMMARY!E48</f>
        <v>1</v>
      </c>
      <c r="E45" s="73">
        <v>9000</v>
      </c>
      <c r="F45" s="39">
        <f t="shared" si="3"/>
        <v>9000</v>
      </c>
      <c r="G45" s="180"/>
      <c r="H45" s="195">
        <f t="shared" si="1"/>
        <v>0</v>
      </c>
    </row>
    <row r="46" spans="1:8" hidden="1">
      <c r="A46" s="192"/>
      <c r="B46" s="38"/>
      <c r="C46" s="5"/>
      <c r="D46" s="36">
        <v>0</v>
      </c>
      <c r="E46" s="57"/>
      <c r="F46" s="39">
        <f t="shared" si="3"/>
        <v>0</v>
      </c>
      <c r="G46" s="164"/>
      <c r="H46" s="195">
        <f t="shared" si="1"/>
        <v>0</v>
      </c>
    </row>
    <row r="47" spans="1:8">
      <c r="A47" s="194" t="s">
        <v>129</v>
      </c>
      <c r="B47" s="37" t="s">
        <v>130</v>
      </c>
      <c r="C47" s="5"/>
      <c r="D47" s="36">
        <v>0</v>
      </c>
      <c r="E47" s="57"/>
      <c r="F47" s="39">
        <f t="shared" si="3"/>
        <v>0</v>
      </c>
      <c r="G47" s="164"/>
      <c r="H47" s="195">
        <f t="shared" si="1"/>
        <v>0</v>
      </c>
    </row>
    <row r="48" spans="1:8">
      <c r="A48" s="192" t="s">
        <v>131</v>
      </c>
      <c r="B48" s="38" t="s">
        <v>132</v>
      </c>
      <c r="C48" s="5"/>
      <c r="D48" s="36">
        <v>0</v>
      </c>
      <c r="E48" s="58"/>
      <c r="F48" s="39">
        <f t="shared" si="3"/>
        <v>0</v>
      </c>
      <c r="G48" s="165"/>
      <c r="H48" s="195">
        <f t="shared" si="1"/>
        <v>0</v>
      </c>
    </row>
    <row r="49" spans="1:8">
      <c r="A49" s="192" t="s">
        <v>133</v>
      </c>
      <c r="B49" s="38" t="s">
        <v>134</v>
      </c>
      <c r="C49" s="5" t="s">
        <v>66</v>
      </c>
      <c r="D49" s="36">
        <f>[1]SUMMARY!E51</f>
        <v>1308.8000000000002</v>
      </c>
      <c r="E49" s="74">
        <v>600</v>
      </c>
      <c r="F49" s="39">
        <f t="shared" si="3"/>
        <v>785280.00000000012</v>
      </c>
      <c r="G49" s="181">
        <f>Shuttering!G32+Shuttering!G10</f>
        <v>248.48400000000004</v>
      </c>
      <c r="H49" s="195">
        <f t="shared" si="1"/>
        <v>149090.40000000002</v>
      </c>
    </row>
    <row r="50" spans="1:8">
      <c r="A50" s="192" t="s">
        <v>135</v>
      </c>
      <c r="B50" s="38" t="s">
        <v>136</v>
      </c>
      <c r="C50" s="5" t="s">
        <v>66</v>
      </c>
      <c r="D50" s="36">
        <f>[1]SUMMARY!E52</f>
        <v>577.32000000000005</v>
      </c>
      <c r="E50" s="74">
        <v>650</v>
      </c>
      <c r="F50" s="39">
        <f t="shared" si="3"/>
        <v>375258.00000000006</v>
      </c>
      <c r="G50" s="181">
        <f>Shuttering!G59</f>
        <v>162.11320000000001</v>
      </c>
      <c r="H50" s="195">
        <f t="shared" si="1"/>
        <v>105373.58</v>
      </c>
    </row>
    <row r="51" spans="1:8">
      <c r="A51" s="192" t="s">
        <v>137</v>
      </c>
      <c r="B51" s="38" t="s">
        <v>138</v>
      </c>
      <c r="C51" s="5" t="s">
        <v>66</v>
      </c>
      <c r="D51" s="36">
        <f>[1]SUMMARY!E53</f>
        <v>0</v>
      </c>
      <c r="E51" s="75"/>
      <c r="F51" s="39">
        <f t="shared" si="3"/>
        <v>0</v>
      </c>
      <c r="G51" s="182"/>
      <c r="H51" s="195">
        <f t="shared" si="1"/>
        <v>0</v>
      </c>
    </row>
    <row r="52" spans="1:8" ht="43.5" hidden="1">
      <c r="A52" s="192" t="s">
        <v>139</v>
      </c>
      <c r="B52" s="38" t="s">
        <v>140</v>
      </c>
      <c r="C52" s="5" t="s">
        <v>66</v>
      </c>
      <c r="D52" s="36">
        <v>0</v>
      </c>
      <c r="E52" s="76"/>
      <c r="F52" s="39">
        <f t="shared" si="3"/>
        <v>0</v>
      </c>
      <c r="G52" s="183"/>
      <c r="H52" s="195">
        <f t="shared" si="1"/>
        <v>0</v>
      </c>
    </row>
    <row r="53" spans="1:8" ht="43.5" hidden="1">
      <c r="A53" s="192" t="s">
        <v>141</v>
      </c>
      <c r="B53" s="38" t="s">
        <v>142</v>
      </c>
      <c r="C53" s="5" t="s">
        <v>66</v>
      </c>
      <c r="D53" s="36">
        <v>0</v>
      </c>
      <c r="E53" s="77"/>
      <c r="F53" s="39">
        <f t="shared" si="3"/>
        <v>0</v>
      </c>
      <c r="G53" s="184"/>
      <c r="H53" s="195">
        <f t="shared" si="1"/>
        <v>0</v>
      </c>
    </row>
    <row r="54" spans="1:8" hidden="1">
      <c r="A54" s="192" t="s">
        <v>143</v>
      </c>
      <c r="B54" s="38" t="s">
        <v>144</v>
      </c>
      <c r="C54" s="5"/>
      <c r="D54" s="36">
        <v>0</v>
      </c>
      <c r="E54" s="58"/>
      <c r="F54" s="39">
        <f t="shared" si="3"/>
        <v>0</v>
      </c>
      <c r="G54" s="165"/>
      <c r="H54" s="195">
        <f t="shared" si="1"/>
        <v>0</v>
      </c>
    </row>
    <row r="55" spans="1:8" hidden="1">
      <c r="A55" s="192" t="s">
        <v>145</v>
      </c>
      <c r="B55" s="38" t="s">
        <v>146</v>
      </c>
      <c r="C55" s="5" t="s">
        <v>147</v>
      </c>
      <c r="D55" s="36">
        <f>[1]SUMMARY!E55</f>
        <v>1.03</v>
      </c>
      <c r="E55" s="78">
        <v>1250</v>
      </c>
      <c r="F55" s="39">
        <f t="shared" si="3"/>
        <v>1287.5</v>
      </c>
      <c r="G55" s="185"/>
      <c r="H55" s="195">
        <f t="shared" si="1"/>
        <v>0</v>
      </c>
    </row>
    <row r="56" spans="1:8" hidden="1">
      <c r="A56" s="192" t="s">
        <v>148</v>
      </c>
      <c r="B56" s="38" t="s">
        <v>149</v>
      </c>
      <c r="C56" s="5" t="s">
        <v>147</v>
      </c>
      <c r="D56" s="36">
        <f>[1]SUMMARY!E56</f>
        <v>1.03</v>
      </c>
      <c r="E56" s="79">
        <v>1400</v>
      </c>
      <c r="F56" s="39">
        <f t="shared" si="3"/>
        <v>1442</v>
      </c>
      <c r="G56" s="186"/>
      <c r="H56" s="195">
        <f t="shared" si="1"/>
        <v>0</v>
      </c>
    </row>
    <row r="57" spans="1:8" hidden="1">
      <c r="A57" s="192" t="s">
        <v>150</v>
      </c>
      <c r="B57" s="38" t="s">
        <v>151</v>
      </c>
      <c r="C57" s="5"/>
      <c r="D57" s="36">
        <v>0</v>
      </c>
      <c r="E57" s="58"/>
      <c r="F57" s="39">
        <f t="shared" si="3"/>
        <v>0</v>
      </c>
      <c r="G57" s="165"/>
      <c r="H57" s="195">
        <f t="shared" si="1"/>
        <v>0</v>
      </c>
    </row>
    <row r="58" spans="1:8" hidden="1">
      <c r="A58" s="192" t="s">
        <v>152</v>
      </c>
      <c r="B58" s="38" t="s">
        <v>153</v>
      </c>
      <c r="C58" s="5" t="s">
        <v>66</v>
      </c>
      <c r="D58" s="36">
        <f>[1]SUMMARY!E57</f>
        <v>5.0999999999999996</v>
      </c>
      <c r="E58" s="80">
        <v>1300</v>
      </c>
      <c r="F58" s="39">
        <f t="shared" si="3"/>
        <v>6629.9999999999991</v>
      </c>
      <c r="G58" s="187"/>
      <c r="H58" s="195">
        <f t="shared" si="1"/>
        <v>0</v>
      </c>
    </row>
    <row r="59" spans="1:8" hidden="1">
      <c r="A59" s="192" t="s">
        <v>154</v>
      </c>
      <c r="B59" s="38" t="s">
        <v>155</v>
      </c>
      <c r="C59" s="5"/>
      <c r="D59" s="36">
        <v>0</v>
      </c>
      <c r="E59" s="58"/>
      <c r="F59" s="39">
        <f t="shared" si="3"/>
        <v>0</v>
      </c>
      <c r="G59" s="165"/>
      <c r="H59" s="195">
        <f t="shared" si="1"/>
        <v>0</v>
      </c>
    </row>
    <row r="60" spans="1:8" hidden="1">
      <c r="A60" s="192" t="s">
        <v>156</v>
      </c>
      <c r="B60" s="38" t="s">
        <v>157</v>
      </c>
      <c r="C60" s="5" t="s">
        <v>147</v>
      </c>
      <c r="D60" s="36">
        <f>[1]SUMMARY!E59</f>
        <v>34</v>
      </c>
      <c r="E60" s="81">
        <v>550</v>
      </c>
      <c r="F60" s="39">
        <f t="shared" si="3"/>
        <v>18700</v>
      </c>
      <c r="G60" s="188"/>
      <c r="H60" s="195">
        <f t="shared" si="1"/>
        <v>0</v>
      </c>
    </row>
    <row r="61" spans="1:8" hidden="1">
      <c r="A61" s="192"/>
      <c r="B61" s="38"/>
      <c r="C61" s="5"/>
      <c r="D61" s="36">
        <v>0</v>
      </c>
      <c r="E61" s="57"/>
      <c r="F61" s="39">
        <f t="shared" si="3"/>
        <v>0</v>
      </c>
      <c r="G61" s="164"/>
      <c r="H61" s="195">
        <f t="shared" si="1"/>
        <v>0</v>
      </c>
    </row>
    <row r="62" spans="1:8">
      <c r="A62" s="194" t="s">
        <v>158</v>
      </c>
      <c r="B62" s="37" t="s">
        <v>159</v>
      </c>
      <c r="C62" s="5"/>
      <c r="D62" s="36">
        <v>0</v>
      </c>
      <c r="E62" s="57"/>
      <c r="F62" s="39">
        <f t="shared" si="3"/>
        <v>0</v>
      </c>
      <c r="G62" s="164"/>
      <c r="H62" s="195">
        <f t="shared" si="1"/>
        <v>0</v>
      </c>
    </row>
    <row r="63" spans="1:8">
      <c r="A63" s="192" t="s">
        <v>160</v>
      </c>
      <c r="B63" s="38" t="s">
        <v>161</v>
      </c>
      <c r="C63" s="5" t="s">
        <v>34</v>
      </c>
      <c r="D63" s="36">
        <f>[1]SUMMARY!E60</f>
        <v>10.337500000000002</v>
      </c>
      <c r="E63" s="82">
        <v>85000</v>
      </c>
      <c r="F63" s="39">
        <f t="shared" si="3"/>
        <v>878687.50000000023</v>
      </c>
      <c r="G63" s="189">
        <f>Steel!M266</f>
        <v>18.901872009864377</v>
      </c>
      <c r="H63" s="195">
        <f t="shared" si="1"/>
        <v>1606659.1208384719</v>
      </c>
    </row>
    <row r="64" spans="1:8">
      <c r="A64" s="192"/>
      <c r="B64" s="38"/>
      <c r="C64" s="5"/>
      <c r="D64" s="36">
        <v>0</v>
      </c>
      <c r="E64" s="40"/>
      <c r="F64" s="39">
        <f t="shared" si="3"/>
        <v>0</v>
      </c>
      <c r="G64" s="40"/>
      <c r="H64" s="195">
        <f t="shared" si="1"/>
        <v>0</v>
      </c>
    </row>
    <row r="65" spans="1:8" hidden="1">
      <c r="A65" s="192"/>
      <c r="B65" s="38"/>
      <c r="C65" s="5"/>
      <c r="D65" s="36"/>
      <c r="E65" s="57"/>
      <c r="F65" s="39"/>
      <c r="G65" s="57"/>
      <c r="H65" s="195">
        <f t="shared" si="1"/>
        <v>0</v>
      </c>
    </row>
    <row r="66" spans="1:8" hidden="1">
      <c r="A66" s="194" t="s">
        <v>162</v>
      </c>
      <c r="B66" s="37" t="s">
        <v>163</v>
      </c>
      <c r="C66" s="5"/>
      <c r="D66" s="36">
        <v>0</v>
      </c>
      <c r="E66" s="58"/>
      <c r="F66" s="39">
        <f t="shared" ref="F66:F113" si="4">D66*E66</f>
        <v>0</v>
      </c>
      <c r="G66" s="58"/>
      <c r="H66" s="195">
        <f t="shared" si="1"/>
        <v>0</v>
      </c>
    </row>
    <row r="67" spans="1:8" ht="29" hidden="1">
      <c r="A67" s="192" t="s">
        <v>164</v>
      </c>
      <c r="B67" s="38" t="s">
        <v>165</v>
      </c>
      <c r="C67" s="5" t="s">
        <v>34</v>
      </c>
      <c r="D67" s="36">
        <f>[1]SUMMARY!E62</f>
        <v>0</v>
      </c>
      <c r="E67" s="83"/>
      <c r="F67" s="39">
        <f t="shared" si="4"/>
        <v>0</v>
      </c>
      <c r="G67" s="83"/>
      <c r="H67" s="195">
        <f t="shared" si="1"/>
        <v>0</v>
      </c>
    </row>
    <row r="68" spans="1:8" hidden="1">
      <c r="A68" s="192" t="s">
        <v>166</v>
      </c>
      <c r="B68" s="38" t="s">
        <v>167</v>
      </c>
      <c r="C68" s="5" t="s">
        <v>168</v>
      </c>
      <c r="D68" s="36">
        <f>[1]SUMMARY!E63</f>
        <v>50</v>
      </c>
      <c r="E68" s="84">
        <v>175</v>
      </c>
      <c r="F68" s="39">
        <f t="shared" si="4"/>
        <v>8750</v>
      </c>
      <c r="G68" s="84"/>
      <c r="H68" s="195">
        <f t="shared" si="1"/>
        <v>0</v>
      </c>
    </row>
    <row r="69" spans="1:8" ht="29" hidden="1">
      <c r="A69" s="192" t="s">
        <v>169</v>
      </c>
      <c r="B69" s="38" t="s">
        <v>170</v>
      </c>
      <c r="C69" s="5" t="s">
        <v>168</v>
      </c>
      <c r="D69" s="36">
        <v>0</v>
      </c>
      <c r="E69" s="85"/>
      <c r="F69" s="39">
        <f t="shared" si="4"/>
        <v>0</v>
      </c>
      <c r="G69" s="85"/>
      <c r="H69" s="195">
        <f t="shared" si="1"/>
        <v>0</v>
      </c>
    </row>
    <row r="70" spans="1:8" hidden="1">
      <c r="A70" s="192" t="s">
        <v>171</v>
      </c>
      <c r="B70" s="38" t="s">
        <v>172</v>
      </c>
      <c r="C70" s="5"/>
      <c r="D70" s="36">
        <v>0</v>
      </c>
      <c r="E70" s="58"/>
      <c r="F70" s="39">
        <f t="shared" si="4"/>
        <v>0</v>
      </c>
      <c r="G70" s="58"/>
      <c r="H70" s="195">
        <f t="shared" si="1"/>
        <v>0</v>
      </c>
    </row>
    <row r="71" spans="1:8" hidden="1">
      <c r="A71" s="192" t="s">
        <v>173</v>
      </c>
      <c r="B71" s="38" t="s">
        <v>174</v>
      </c>
      <c r="C71" s="5" t="s">
        <v>116</v>
      </c>
      <c r="D71" s="36">
        <f>[1]SUMMARY!E66</f>
        <v>0</v>
      </c>
      <c r="E71" s="86"/>
      <c r="F71" s="39">
        <f t="shared" si="4"/>
        <v>0</v>
      </c>
      <c r="G71" s="86"/>
      <c r="H71" s="195">
        <f t="shared" si="1"/>
        <v>0</v>
      </c>
    </row>
    <row r="72" spans="1:8" hidden="1">
      <c r="A72" s="192" t="s">
        <v>175</v>
      </c>
      <c r="B72" s="38" t="s">
        <v>176</v>
      </c>
      <c r="C72" s="5" t="s">
        <v>116</v>
      </c>
      <c r="D72" s="36">
        <f>[1]SUMMARY!E67</f>
        <v>0</v>
      </c>
      <c r="E72" s="87"/>
      <c r="F72" s="39">
        <f t="shared" si="4"/>
        <v>0</v>
      </c>
      <c r="G72" s="87"/>
      <c r="H72" s="195">
        <f t="shared" ref="H72:H135" si="5">G72*E72</f>
        <v>0</v>
      </c>
    </row>
    <row r="73" spans="1:8" hidden="1">
      <c r="A73" s="192" t="s">
        <v>177</v>
      </c>
      <c r="B73" s="38" t="s">
        <v>178</v>
      </c>
      <c r="C73" s="5" t="s">
        <v>116</v>
      </c>
      <c r="D73" s="36">
        <f>[1]SUMMARY!E69</f>
        <v>0</v>
      </c>
      <c r="E73" s="88"/>
      <c r="F73" s="39">
        <f t="shared" si="4"/>
        <v>0</v>
      </c>
      <c r="G73" s="88"/>
      <c r="H73" s="195">
        <f t="shared" si="5"/>
        <v>0</v>
      </c>
    </row>
    <row r="74" spans="1:8" hidden="1">
      <c r="A74" s="192" t="s">
        <v>179</v>
      </c>
      <c r="B74" s="38" t="s">
        <v>180</v>
      </c>
      <c r="C74" s="5" t="s">
        <v>168</v>
      </c>
      <c r="D74" s="36">
        <f>[1]SUMMARY!E71</f>
        <v>1.03</v>
      </c>
      <c r="E74" s="89">
        <v>250</v>
      </c>
      <c r="F74" s="39">
        <f t="shared" si="4"/>
        <v>257.5</v>
      </c>
      <c r="G74" s="89"/>
      <c r="H74" s="195">
        <f t="shared" si="5"/>
        <v>0</v>
      </c>
    </row>
    <row r="75" spans="1:8" hidden="1">
      <c r="A75" s="192" t="s">
        <v>181</v>
      </c>
      <c r="B75" s="38" t="s">
        <v>182</v>
      </c>
      <c r="C75" s="5" t="s">
        <v>168</v>
      </c>
      <c r="D75" s="36">
        <v>0</v>
      </c>
      <c r="E75" s="90"/>
      <c r="F75" s="39">
        <f t="shared" si="4"/>
        <v>0</v>
      </c>
      <c r="G75" s="90"/>
      <c r="H75" s="195">
        <f t="shared" si="5"/>
        <v>0</v>
      </c>
    </row>
    <row r="76" spans="1:8" hidden="1">
      <c r="A76" s="192" t="s">
        <v>183</v>
      </c>
      <c r="B76" s="38" t="s">
        <v>184</v>
      </c>
      <c r="C76" s="5" t="s">
        <v>34</v>
      </c>
      <c r="D76" s="36">
        <f>[1]SUMMARY!E72</f>
        <v>0</v>
      </c>
      <c r="E76" s="91"/>
      <c r="F76" s="39">
        <f t="shared" si="4"/>
        <v>0</v>
      </c>
      <c r="G76" s="91"/>
      <c r="H76" s="195">
        <f t="shared" si="5"/>
        <v>0</v>
      </c>
    </row>
    <row r="77" spans="1:8" hidden="1">
      <c r="A77" s="192" t="s">
        <v>185</v>
      </c>
      <c r="B77" s="38" t="s">
        <v>186</v>
      </c>
      <c r="C77" s="5" t="s">
        <v>34</v>
      </c>
      <c r="D77" s="36">
        <f>[1]SUMMARY!E74</f>
        <v>0</v>
      </c>
      <c r="E77" s="91"/>
      <c r="F77" s="39">
        <f t="shared" si="4"/>
        <v>0</v>
      </c>
      <c r="G77" s="91"/>
      <c r="H77" s="195">
        <f t="shared" si="5"/>
        <v>0</v>
      </c>
    </row>
    <row r="78" spans="1:8" hidden="1">
      <c r="A78" s="192" t="s">
        <v>187</v>
      </c>
      <c r="B78" s="38" t="s">
        <v>188</v>
      </c>
      <c r="C78" s="5"/>
      <c r="D78" s="36">
        <v>0</v>
      </c>
      <c r="E78" s="57"/>
      <c r="F78" s="39">
        <f t="shared" si="4"/>
        <v>0</v>
      </c>
      <c r="G78" s="57"/>
      <c r="H78" s="195">
        <f t="shared" si="5"/>
        <v>0</v>
      </c>
    </row>
    <row r="79" spans="1:8" hidden="1">
      <c r="A79" s="192" t="s">
        <v>189</v>
      </c>
      <c r="B79" s="38" t="s">
        <v>190</v>
      </c>
      <c r="C79" s="5" t="s">
        <v>168</v>
      </c>
      <c r="D79" s="36">
        <v>0</v>
      </c>
      <c r="E79" s="84"/>
      <c r="F79" s="39">
        <f t="shared" si="4"/>
        <v>0</v>
      </c>
      <c r="G79" s="84"/>
      <c r="H79" s="195">
        <f t="shared" si="5"/>
        <v>0</v>
      </c>
    </row>
    <row r="80" spans="1:8" hidden="1">
      <c r="A80" s="192" t="s">
        <v>191</v>
      </c>
      <c r="B80" s="38" t="s">
        <v>192</v>
      </c>
      <c r="C80" s="5" t="s">
        <v>193</v>
      </c>
      <c r="D80" s="36">
        <f>[1]SUMMARY!E75</f>
        <v>16.899999999999999</v>
      </c>
      <c r="E80" s="78">
        <v>7500</v>
      </c>
      <c r="F80" s="39">
        <f t="shared" si="4"/>
        <v>126749.99999999999</v>
      </c>
      <c r="G80" s="78"/>
      <c r="H80" s="195">
        <f t="shared" si="5"/>
        <v>0</v>
      </c>
    </row>
    <row r="81" spans="1:8" hidden="1">
      <c r="A81" s="192" t="s">
        <v>194</v>
      </c>
      <c r="B81" s="38" t="s">
        <v>195</v>
      </c>
      <c r="C81" s="5" t="s">
        <v>193</v>
      </c>
      <c r="D81" s="36">
        <f>[1]SUMMARY!E76</f>
        <v>1.03</v>
      </c>
      <c r="E81" s="73">
        <v>5000</v>
      </c>
      <c r="F81" s="39">
        <f t="shared" si="4"/>
        <v>5150</v>
      </c>
      <c r="G81" s="73"/>
      <c r="H81" s="195">
        <f t="shared" si="5"/>
        <v>0</v>
      </c>
    </row>
    <row r="82" spans="1:8" hidden="1">
      <c r="A82" s="192" t="s">
        <v>196</v>
      </c>
      <c r="B82" s="38" t="s">
        <v>197</v>
      </c>
      <c r="C82" s="5"/>
      <c r="D82" s="36">
        <v>0</v>
      </c>
      <c r="E82" s="58"/>
      <c r="F82" s="39">
        <f t="shared" si="4"/>
        <v>0</v>
      </c>
      <c r="G82" s="58"/>
      <c r="H82" s="195">
        <f t="shared" si="5"/>
        <v>0</v>
      </c>
    </row>
    <row r="83" spans="1:8" hidden="1">
      <c r="A83" s="192" t="s">
        <v>198</v>
      </c>
      <c r="B83" s="38" t="s">
        <v>199</v>
      </c>
      <c r="C83" s="5" t="s">
        <v>116</v>
      </c>
      <c r="D83" s="36">
        <f>[1]SUMMARY!E78</f>
        <v>1.03</v>
      </c>
      <c r="E83" s="90">
        <v>450</v>
      </c>
      <c r="F83" s="39">
        <f t="shared" si="4"/>
        <v>463.5</v>
      </c>
      <c r="G83" s="90"/>
      <c r="H83" s="195">
        <f t="shared" si="5"/>
        <v>0</v>
      </c>
    </row>
    <row r="84" spans="1:8" hidden="1">
      <c r="A84" s="192" t="s">
        <v>200</v>
      </c>
      <c r="B84" s="38" t="s">
        <v>201</v>
      </c>
      <c r="C84" s="5" t="s">
        <v>116</v>
      </c>
      <c r="D84" s="36">
        <f>[1]SUMMARY!E79</f>
        <v>1.03</v>
      </c>
      <c r="E84" s="84">
        <v>650</v>
      </c>
      <c r="F84" s="39">
        <f t="shared" si="4"/>
        <v>669.5</v>
      </c>
      <c r="G84" s="84"/>
      <c r="H84" s="195">
        <f t="shared" si="5"/>
        <v>0</v>
      </c>
    </row>
    <row r="85" spans="1:8" hidden="1">
      <c r="A85" s="192" t="s">
        <v>202</v>
      </c>
      <c r="B85" s="38" t="s">
        <v>203</v>
      </c>
      <c r="C85" s="5" t="s">
        <v>116</v>
      </c>
      <c r="D85" s="36">
        <f>[1]SUMMARY!E80</f>
        <v>1.03</v>
      </c>
      <c r="E85" s="92">
        <v>700</v>
      </c>
      <c r="F85" s="39">
        <f t="shared" si="4"/>
        <v>721</v>
      </c>
      <c r="G85" s="92"/>
      <c r="H85" s="195">
        <f t="shared" si="5"/>
        <v>0</v>
      </c>
    </row>
    <row r="86" spans="1:8" hidden="1">
      <c r="A86" s="192" t="s">
        <v>204</v>
      </c>
      <c r="B86" s="38" t="s">
        <v>205</v>
      </c>
      <c r="C86" s="5"/>
      <c r="D86" s="36">
        <v>0</v>
      </c>
      <c r="E86" s="58"/>
      <c r="F86" s="39">
        <f t="shared" si="4"/>
        <v>0</v>
      </c>
      <c r="G86" s="58"/>
      <c r="H86" s="195">
        <f t="shared" si="5"/>
        <v>0</v>
      </c>
    </row>
    <row r="87" spans="1:8" hidden="1">
      <c r="A87" s="192" t="s">
        <v>206</v>
      </c>
      <c r="B87" s="38" t="s">
        <v>207</v>
      </c>
      <c r="C87" s="5" t="s">
        <v>116</v>
      </c>
      <c r="D87" s="36">
        <f>[1]SUMMARY!E83</f>
        <v>1.03</v>
      </c>
      <c r="E87" s="84">
        <v>850</v>
      </c>
      <c r="F87" s="39">
        <f t="shared" si="4"/>
        <v>875.5</v>
      </c>
      <c r="G87" s="84"/>
      <c r="H87" s="195">
        <f t="shared" si="5"/>
        <v>0</v>
      </c>
    </row>
    <row r="88" spans="1:8" hidden="1">
      <c r="A88" s="192" t="s">
        <v>208</v>
      </c>
      <c r="B88" s="38" t="s">
        <v>209</v>
      </c>
      <c r="C88" s="5" t="s">
        <v>116</v>
      </c>
      <c r="D88" s="36">
        <f>[1]SUMMARY!E84</f>
        <v>1.03</v>
      </c>
      <c r="E88" s="93">
        <v>1100</v>
      </c>
      <c r="F88" s="39">
        <f t="shared" si="4"/>
        <v>1133</v>
      </c>
      <c r="G88" s="93"/>
      <c r="H88" s="195">
        <f t="shared" si="5"/>
        <v>0</v>
      </c>
    </row>
    <row r="89" spans="1:8" hidden="1">
      <c r="A89" s="192" t="s">
        <v>210</v>
      </c>
      <c r="B89" s="38" t="s">
        <v>211</v>
      </c>
      <c r="C89" s="5" t="s">
        <v>116</v>
      </c>
      <c r="D89" s="36">
        <f>[1]SUMMARY!E85</f>
        <v>1.03</v>
      </c>
      <c r="E89" s="94">
        <v>1500</v>
      </c>
      <c r="F89" s="39">
        <f t="shared" si="4"/>
        <v>1545</v>
      </c>
      <c r="G89" s="94"/>
      <c r="H89" s="195">
        <f t="shared" si="5"/>
        <v>0</v>
      </c>
    </row>
    <row r="90" spans="1:8" hidden="1">
      <c r="A90" s="192"/>
      <c r="B90" s="38"/>
      <c r="C90" s="5"/>
      <c r="D90" s="36">
        <v>0</v>
      </c>
      <c r="E90" s="57"/>
      <c r="F90" s="39">
        <f t="shared" si="4"/>
        <v>0</v>
      </c>
      <c r="G90" s="57"/>
      <c r="H90" s="195">
        <f t="shared" si="5"/>
        <v>0</v>
      </c>
    </row>
    <row r="91" spans="1:8" hidden="1">
      <c r="A91" s="194" t="s">
        <v>212</v>
      </c>
      <c r="B91" s="37" t="s">
        <v>213</v>
      </c>
      <c r="C91" s="5"/>
      <c r="D91" s="36">
        <v>0</v>
      </c>
      <c r="E91" s="57"/>
      <c r="F91" s="39">
        <f t="shared" si="4"/>
        <v>0</v>
      </c>
      <c r="G91" s="57"/>
      <c r="H91" s="195">
        <f t="shared" si="5"/>
        <v>0</v>
      </c>
    </row>
    <row r="92" spans="1:8" hidden="1">
      <c r="A92" s="192" t="s">
        <v>214</v>
      </c>
      <c r="B92" s="38" t="s">
        <v>215</v>
      </c>
      <c r="C92" s="5"/>
      <c r="D92" s="36">
        <v>0</v>
      </c>
      <c r="E92" s="58"/>
      <c r="F92" s="39">
        <f t="shared" si="4"/>
        <v>0</v>
      </c>
      <c r="G92" s="58"/>
      <c r="H92" s="195">
        <f t="shared" si="5"/>
        <v>0</v>
      </c>
    </row>
    <row r="93" spans="1:8" hidden="1">
      <c r="A93" s="192" t="s">
        <v>216</v>
      </c>
      <c r="B93" s="38" t="s">
        <v>136</v>
      </c>
      <c r="C93" s="5" t="s">
        <v>59</v>
      </c>
      <c r="D93" s="36">
        <f>[1]SUMMARY!E88</f>
        <v>0.80960000000000021</v>
      </c>
      <c r="E93" s="79">
        <v>8000</v>
      </c>
      <c r="F93" s="39">
        <f t="shared" si="4"/>
        <v>6476.800000000002</v>
      </c>
      <c r="G93" s="79"/>
      <c r="H93" s="195">
        <f t="shared" si="5"/>
        <v>0</v>
      </c>
    </row>
    <row r="94" spans="1:8" hidden="1">
      <c r="A94" s="192" t="s">
        <v>217</v>
      </c>
      <c r="B94" s="38" t="s">
        <v>218</v>
      </c>
      <c r="C94" s="5" t="s">
        <v>59</v>
      </c>
      <c r="D94" s="36">
        <v>0</v>
      </c>
      <c r="E94" s="95"/>
      <c r="F94" s="39">
        <f t="shared" si="4"/>
        <v>0</v>
      </c>
      <c r="G94" s="95"/>
      <c r="H94" s="195">
        <f t="shared" si="5"/>
        <v>0</v>
      </c>
    </row>
    <row r="95" spans="1:8" ht="29" hidden="1">
      <c r="A95" s="192" t="s">
        <v>219</v>
      </c>
      <c r="B95" s="38" t="s">
        <v>220</v>
      </c>
      <c r="C95" s="5"/>
      <c r="D95" s="36">
        <v>0</v>
      </c>
      <c r="E95" s="54"/>
      <c r="F95" s="39">
        <f t="shared" si="4"/>
        <v>0</v>
      </c>
      <c r="G95" s="54"/>
      <c r="H95" s="195">
        <f t="shared" si="5"/>
        <v>0</v>
      </c>
    </row>
    <row r="96" spans="1:8" hidden="1">
      <c r="A96" s="192" t="s">
        <v>221</v>
      </c>
      <c r="B96" s="38" t="s">
        <v>134</v>
      </c>
      <c r="C96" s="5" t="s">
        <v>59</v>
      </c>
      <c r="D96" s="36">
        <f>[1]SUMMARY!E90</f>
        <v>36.235035999999958</v>
      </c>
      <c r="E96" s="79">
        <v>8500</v>
      </c>
      <c r="F96" s="39">
        <f t="shared" si="4"/>
        <v>307997.80599999963</v>
      </c>
      <c r="G96" s="79"/>
      <c r="H96" s="195">
        <f t="shared" si="5"/>
        <v>0</v>
      </c>
    </row>
    <row r="97" spans="1:8" hidden="1">
      <c r="A97" s="192" t="s">
        <v>222</v>
      </c>
      <c r="B97" s="38" t="s">
        <v>223</v>
      </c>
      <c r="C97" s="5"/>
      <c r="D97" s="36"/>
      <c r="E97" s="54"/>
      <c r="F97" s="39">
        <f t="shared" si="4"/>
        <v>0</v>
      </c>
      <c r="G97" s="54"/>
      <c r="H97" s="195">
        <f t="shared" si="5"/>
        <v>0</v>
      </c>
    </row>
    <row r="98" spans="1:8" hidden="1">
      <c r="A98" s="192" t="s">
        <v>224</v>
      </c>
      <c r="B98" s="38" t="s">
        <v>136</v>
      </c>
      <c r="C98" s="5" t="s">
        <v>59</v>
      </c>
      <c r="D98" s="36">
        <f>[1]SUMMARY!E93</f>
        <v>70.387999999999991</v>
      </c>
      <c r="E98" s="79">
        <v>8500</v>
      </c>
      <c r="F98" s="39">
        <f t="shared" si="4"/>
        <v>598297.99999999988</v>
      </c>
      <c r="G98" s="79"/>
      <c r="H98" s="195">
        <f t="shared" si="5"/>
        <v>0</v>
      </c>
    </row>
    <row r="99" spans="1:8" hidden="1">
      <c r="A99" s="192" t="s">
        <v>225</v>
      </c>
      <c r="B99" s="38" t="s">
        <v>218</v>
      </c>
      <c r="C99" s="5" t="s">
        <v>59</v>
      </c>
      <c r="D99" s="36">
        <f>[1]SUMMARY!E94</f>
        <v>0</v>
      </c>
      <c r="E99" s="79"/>
      <c r="F99" s="39">
        <f t="shared" si="4"/>
        <v>0</v>
      </c>
      <c r="G99" s="79"/>
      <c r="H99" s="195">
        <f t="shared" si="5"/>
        <v>0</v>
      </c>
    </row>
    <row r="100" spans="1:8" hidden="1">
      <c r="A100" s="192" t="s">
        <v>226</v>
      </c>
      <c r="B100" s="38" t="s">
        <v>227</v>
      </c>
      <c r="C100" s="5" t="s">
        <v>66</v>
      </c>
      <c r="D100" s="36">
        <f>[1]SUMMARY!E97</f>
        <v>1</v>
      </c>
      <c r="E100" s="79">
        <v>1250</v>
      </c>
      <c r="F100" s="39">
        <f t="shared" si="4"/>
        <v>1250</v>
      </c>
      <c r="G100" s="79"/>
      <c r="H100" s="195">
        <f t="shared" si="5"/>
        <v>0</v>
      </c>
    </row>
    <row r="101" spans="1:8" hidden="1">
      <c r="A101" s="192" t="s">
        <v>228</v>
      </c>
      <c r="B101" s="38" t="s">
        <v>229</v>
      </c>
      <c r="C101" s="5" t="s">
        <v>59</v>
      </c>
      <c r="D101" s="36">
        <f>[1]SUMMARY!E98</f>
        <v>1.03</v>
      </c>
      <c r="E101" s="91">
        <v>2800</v>
      </c>
      <c r="F101" s="39">
        <f t="shared" si="4"/>
        <v>2884</v>
      </c>
      <c r="G101" s="91"/>
      <c r="H101" s="195">
        <f t="shared" si="5"/>
        <v>0</v>
      </c>
    </row>
    <row r="102" spans="1:8" hidden="1">
      <c r="A102" s="192" t="s">
        <v>230</v>
      </c>
      <c r="B102" s="38" t="s">
        <v>231</v>
      </c>
      <c r="C102" s="5"/>
      <c r="D102" s="36">
        <v>0</v>
      </c>
      <c r="E102" s="58"/>
      <c r="F102" s="39">
        <f t="shared" si="4"/>
        <v>0</v>
      </c>
      <c r="G102" s="58"/>
      <c r="H102" s="195">
        <f t="shared" si="5"/>
        <v>0</v>
      </c>
    </row>
    <row r="103" spans="1:8" hidden="1">
      <c r="A103" s="192" t="s">
        <v>232</v>
      </c>
      <c r="B103" s="38" t="s">
        <v>124</v>
      </c>
      <c r="C103" s="5" t="s">
        <v>116</v>
      </c>
      <c r="D103" s="36">
        <f>[1]SUMMARY!E100</f>
        <v>1.03</v>
      </c>
      <c r="E103" s="96">
        <v>275</v>
      </c>
      <c r="F103" s="39">
        <f t="shared" si="4"/>
        <v>283.25</v>
      </c>
      <c r="G103" s="96"/>
      <c r="H103" s="195">
        <f t="shared" si="5"/>
        <v>0</v>
      </c>
    </row>
    <row r="104" spans="1:8" hidden="1">
      <c r="A104" s="192" t="s">
        <v>233</v>
      </c>
      <c r="B104" s="38" t="s">
        <v>234</v>
      </c>
      <c r="C104" s="5" t="s">
        <v>116</v>
      </c>
      <c r="D104" s="36">
        <f>[1]SUMMARY!E101</f>
        <v>1.03</v>
      </c>
      <c r="E104" s="97">
        <v>525</v>
      </c>
      <c r="F104" s="39">
        <f t="shared" si="4"/>
        <v>540.75</v>
      </c>
      <c r="G104" s="97"/>
      <c r="H104" s="195">
        <f t="shared" si="5"/>
        <v>0</v>
      </c>
    </row>
    <row r="105" spans="1:8" hidden="1">
      <c r="A105" s="192" t="s">
        <v>235</v>
      </c>
      <c r="B105" s="38" t="s">
        <v>236</v>
      </c>
      <c r="C105" s="5" t="s">
        <v>116</v>
      </c>
      <c r="D105" s="36">
        <f>[1]SUMMARY!E102</f>
        <v>1.03</v>
      </c>
      <c r="E105" s="98">
        <v>1050</v>
      </c>
      <c r="F105" s="39">
        <f t="shared" si="4"/>
        <v>1081.5</v>
      </c>
      <c r="G105" s="98"/>
      <c r="H105" s="195">
        <f t="shared" si="5"/>
        <v>0</v>
      </c>
    </row>
    <row r="106" spans="1:8" hidden="1">
      <c r="A106" s="192"/>
      <c r="B106" s="38"/>
      <c r="C106" s="5"/>
      <c r="D106" s="36">
        <v>0</v>
      </c>
      <c r="E106" s="57"/>
      <c r="F106" s="39">
        <f t="shared" si="4"/>
        <v>0</v>
      </c>
      <c r="G106" s="57"/>
      <c r="H106" s="195">
        <f t="shared" si="5"/>
        <v>0</v>
      </c>
    </row>
    <row r="107" spans="1:8" hidden="1">
      <c r="A107" s="194" t="s">
        <v>237</v>
      </c>
      <c r="B107" s="37" t="s">
        <v>238</v>
      </c>
      <c r="C107" s="5"/>
      <c r="D107" s="36">
        <v>0</v>
      </c>
      <c r="E107" s="57"/>
      <c r="F107" s="39">
        <f t="shared" si="4"/>
        <v>0</v>
      </c>
      <c r="G107" s="57"/>
      <c r="H107" s="195">
        <f t="shared" si="5"/>
        <v>0</v>
      </c>
    </row>
    <row r="108" spans="1:8" ht="29" hidden="1">
      <c r="A108" s="192" t="s">
        <v>239</v>
      </c>
      <c r="B108" s="38" t="s">
        <v>240</v>
      </c>
      <c r="C108" s="5" t="s">
        <v>66</v>
      </c>
      <c r="D108" s="36">
        <f>[1]SUMMARY!E104</f>
        <v>0</v>
      </c>
      <c r="E108" s="99"/>
      <c r="F108" s="39">
        <f t="shared" si="4"/>
        <v>0</v>
      </c>
      <c r="G108" s="99"/>
      <c r="H108" s="195">
        <f t="shared" si="5"/>
        <v>0</v>
      </c>
    </row>
    <row r="109" spans="1:8" hidden="1">
      <c r="A109" s="192" t="s">
        <v>241</v>
      </c>
      <c r="B109" s="38" t="s">
        <v>242</v>
      </c>
      <c r="C109" s="5" t="s">
        <v>66</v>
      </c>
      <c r="D109" s="36">
        <v>0</v>
      </c>
      <c r="E109" s="84"/>
      <c r="F109" s="39">
        <f t="shared" si="4"/>
        <v>0</v>
      </c>
      <c r="G109" s="84"/>
      <c r="H109" s="195">
        <f t="shared" si="5"/>
        <v>0</v>
      </c>
    </row>
    <row r="110" spans="1:8" hidden="1">
      <c r="A110" s="192" t="s">
        <v>243</v>
      </c>
      <c r="B110" s="38" t="s">
        <v>244</v>
      </c>
      <c r="C110" s="5" t="s">
        <v>66</v>
      </c>
      <c r="D110" s="36">
        <v>0</v>
      </c>
      <c r="E110" s="40"/>
      <c r="F110" s="39">
        <f t="shared" si="4"/>
        <v>0</v>
      </c>
      <c r="G110" s="40"/>
      <c r="H110" s="195">
        <f t="shared" si="5"/>
        <v>0</v>
      </c>
    </row>
    <row r="111" spans="1:8" hidden="1">
      <c r="A111" s="192" t="s">
        <v>245</v>
      </c>
      <c r="B111" s="38" t="s">
        <v>246</v>
      </c>
      <c r="C111" s="5" t="s">
        <v>66</v>
      </c>
      <c r="D111" s="36">
        <f>[1]SUMMARY!E105</f>
        <v>0</v>
      </c>
      <c r="E111" s="54"/>
      <c r="F111" s="39">
        <f t="shared" si="4"/>
        <v>0</v>
      </c>
      <c r="G111" s="54"/>
      <c r="H111" s="195">
        <f t="shared" si="5"/>
        <v>0</v>
      </c>
    </row>
    <row r="112" spans="1:8" hidden="1">
      <c r="A112" s="192" t="s">
        <v>247</v>
      </c>
      <c r="B112" s="38" t="s">
        <v>248</v>
      </c>
      <c r="C112" s="5" t="s">
        <v>66</v>
      </c>
      <c r="D112" s="36">
        <f>[1]SUMMARY!E106</f>
        <v>0</v>
      </c>
      <c r="E112" s="73"/>
      <c r="F112" s="39">
        <f t="shared" si="4"/>
        <v>0</v>
      </c>
      <c r="G112" s="73"/>
      <c r="H112" s="195">
        <f t="shared" si="5"/>
        <v>0</v>
      </c>
    </row>
    <row r="113" spans="1:8" hidden="1">
      <c r="A113" s="192"/>
      <c r="B113" s="38"/>
      <c r="C113" s="5"/>
      <c r="D113" s="36">
        <v>0</v>
      </c>
      <c r="E113" s="82"/>
      <c r="F113" s="39">
        <f t="shared" si="4"/>
        <v>0</v>
      </c>
      <c r="G113" s="82"/>
      <c r="H113" s="195">
        <f t="shared" si="5"/>
        <v>0</v>
      </c>
    </row>
    <row r="114" spans="1:8" hidden="1">
      <c r="A114" s="192"/>
      <c r="B114" s="38"/>
      <c r="C114" s="5"/>
      <c r="D114" s="36"/>
      <c r="E114" s="57"/>
      <c r="F114" s="39"/>
      <c r="G114" s="57"/>
      <c r="H114" s="195">
        <f t="shared" si="5"/>
        <v>0</v>
      </c>
    </row>
    <row r="115" spans="1:8" hidden="1">
      <c r="A115" s="194" t="s">
        <v>249</v>
      </c>
      <c r="B115" s="37" t="s">
        <v>250</v>
      </c>
      <c r="C115" s="5"/>
      <c r="D115" s="36">
        <v>0</v>
      </c>
      <c r="E115" s="57"/>
      <c r="F115" s="39">
        <f t="shared" ref="F115:F146" si="6">D115*E115</f>
        <v>0</v>
      </c>
      <c r="G115" s="57"/>
      <c r="H115" s="195">
        <f t="shared" si="5"/>
        <v>0</v>
      </c>
    </row>
    <row r="116" spans="1:8" hidden="1">
      <c r="A116" s="192" t="s">
        <v>251</v>
      </c>
      <c r="B116" s="38" t="s">
        <v>252</v>
      </c>
      <c r="C116" s="5"/>
      <c r="D116" s="36">
        <v>0</v>
      </c>
      <c r="E116" s="58"/>
      <c r="F116" s="39">
        <f t="shared" si="6"/>
        <v>0</v>
      </c>
      <c r="G116" s="58"/>
      <c r="H116" s="195">
        <f t="shared" si="5"/>
        <v>0</v>
      </c>
    </row>
    <row r="117" spans="1:8" hidden="1">
      <c r="A117" s="192" t="s">
        <v>253</v>
      </c>
      <c r="B117" s="38" t="s">
        <v>254</v>
      </c>
      <c r="C117" s="5" t="s">
        <v>66</v>
      </c>
      <c r="D117" s="36">
        <f>[1]SUMMARY!E110</f>
        <v>0</v>
      </c>
      <c r="E117" s="98"/>
      <c r="F117" s="39">
        <f t="shared" si="6"/>
        <v>0</v>
      </c>
      <c r="G117" s="98"/>
      <c r="H117" s="195">
        <f t="shared" si="5"/>
        <v>0</v>
      </c>
    </row>
    <row r="118" spans="1:8" hidden="1">
      <c r="A118" s="192" t="s">
        <v>255</v>
      </c>
      <c r="B118" s="38" t="s">
        <v>256</v>
      </c>
      <c r="C118" s="5" t="s">
        <v>147</v>
      </c>
      <c r="D118" s="36">
        <f>[1]SUMMARY!E112</f>
        <v>0</v>
      </c>
      <c r="E118" s="84"/>
      <c r="F118" s="39">
        <f t="shared" si="6"/>
        <v>0</v>
      </c>
      <c r="G118" s="84"/>
      <c r="H118" s="195">
        <f t="shared" si="5"/>
        <v>0</v>
      </c>
    </row>
    <row r="119" spans="1:8" hidden="1">
      <c r="A119" s="192" t="s">
        <v>257</v>
      </c>
      <c r="B119" s="38" t="s">
        <v>258</v>
      </c>
      <c r="C119" s="5"/>
      <c r="D119" s="36">
        <v>0</v>
      </c>
      <c r="E119" s="58"/>
      <c r="F119" s="39">
        <f t="shared" si="6"/>
        <v>0</v>
      </c>
      <c r="G119" s="58"/>
      <c r="H119" s="195">
        <f t="shared" si="5"/>
        <v>0</v>
      </c>
    </row>
    <row r="120" spans="1:8" hidden="1">
      <c r="A120" s="192" t="s">
        <v>259</v>
      </c>
      <c r="B120" s="38" t="s">
        <v>260</v>
      </c>
      <c r="C120" s="5" t="s">
        <v>147</v>
      </c>
      <c r="D120" s="36">
        <f>[1]SUMMARY!E114</f>
        <v>1</v>
      </c>
      <c r="E120" s="84">
        <v>150</v>
      </c>
      <c r="F120" s="39">
        <f t="shared" si="6"/>
        <v>150</v>
      </c>
      <c r="G120" s="84"/>
      <c r="H120" s="195">
        <f t="shared" si="5"/>
        <v>0</v>
      </c>
    </row>
    <row r="121" spans="1:8" hidden="1">
      <c r="A121" s="192" t="s">
        <v>261</v>
      </c>
      <c r="B121" s="38" t="s">
        <v>262</v>
      </c>
      <c r="C121" s="5" t="s">
        <v>147</v>
      </c>
      <c r="D121" s="36">
        <f>[1]SUMMARY!E115</f>
        <v>1</v>
      </c>
      <c r="E121" s="84">
        <v>175</v>
      </c>
      <c r="F121" s="39">
        <f t="shared" si="6"/>
        <v>175</v>
      </c>
      <c r="G121" s="84"/>
      <c r="H121" s="195">
        <f t="shared" si="5"/>
        <v>0</v>
      </c>
    </row>
    <row r="122" spans="1:8" ht="43.5" hidden="1">
      <c r="A122" s="192" t="s">
        <v>263</v>
      </c>
      <c r="B122" s="38" t="s">
        <v>264</v>
      </c>
      <c r="C122" s="5" t="s">
        <v>66</v>
      </c>
      <c r="D122" s="36">
        <v>0</v>
      </c>
      <c r="E122" s="100"/>
      <c r="F122" s="39">
        <f t="shared" si="6"/>
        <v>0</v>
      </c>
      <c r="G122" s="100"/>
      <c r="H122" s="195">
        <f t="shared" si="5"/>
        <v>0</v>
      </c>
    </row>
    <row r="123" spans="1:8" ht="29" hidden="1">
      <c r="A123" s="192" t="s">
        <v>265</v>
      </c>
      <c r="B123" s="38" t="s">
        <v>266</v>
      </c>
      <c r="C123" s="5" t="s">
        <v>66</v>
      </c>
      <c r="D123" s="36">
        <f>[1]SUMMARY!E116</f>
        <v>0</v>
      </c>
      <c r="E123" s="101"/>
      <c r="F123" s="39">
        <f t="shared" si="6"/>
        <v>0</v>
      </c>
      <c r="G123" s="101"/>
      <c r="H123" s="195">
        <f t="shared" si="5"/>
        <v>0</v>
      </c>
    </row>
    <row r="124" spans="1:8" ht="29" hidden="1">
      <c r="A124" s="192" t="s">
        <v>267</v>
      </c>
      <c r="B124" s="38" t="s">
        <v>268</v>
      </c>
      <c r="C124" s="5" t="s">
        <v>66</v>
      </c>
      <c r="D124" s="36">
        <v>0</v>
      </c>
      <c r="E124" s="101"/>
      <c r="F124" s="39">
        <f t="shared" si="6"/>
        <v>0</v>
      </c>
      <c r="G124" s="101"/>
      <c r="H124" s="195">
        <f t="shared" si="5"/>
        <v>0</v>
      </c>
    </row>
    <row r="125" spans="1:8" ht="29" hidden="1">
      <c r="A125" s="192" t="s">
        <v>269</v>
      </c>
      <c r="B125" s="38" t="s">
        <v>270</v>
      </c>
      <c r="C125" s="5" t="s">
        <v>66</v>
      </c>
      <c r="D125" s="36">
        <v>0</v>
      </c>
      <c r="E125" s="102"/>
      <c r="F125" s="39">
        <f t="shared" si="6"/>
        <v>0</v>
      </c>
      <c r="G125" s="102"/>
      <c r="H125" s="195">
        <f t="shared" si="5"/>
        <v>0</v>
      </c>
    </row>
    <row r="126" spans="1:8" hidden="1">
      <c r="A126" s="192" t="s">
        <v>271</v>
      </c>
      <c r="B126" s="38" t="s">
        <v>272</v>
      </c>
      <c r="C126" s="5" t="s">
        <v>66</v>
      </c>
      <c r="D126" s="36">
        <f>[1]SUMMARY!E117</f>
        <v>0</v>
      </c>
      <c r="E126" s="103"/>
      <c r="F126" s="39">
        <f t="shared" si="6"/>
        <v>0</v>
      </c>
      <c r="G126" s="103"/>
      <c r="H126" s="195">
        <f t="shared" si="5"/>
        <v>0</v>
      </c>
    </row>
    <row r="127" spans="1:8" hidden="1">
      <c r="A127" s="192" t="s">
        <v>273</v>
      </c>
      <c r="B127" s="38" t="s">
        <v>274</v>
      </c>
      <c r="C127" s="5" t="s">
        <v>66</v>
      </c>
      <c r="D127" s="36">
        <v>0</v>
      </c>
      <c r="E127" s="104"/>
      <c r="F127" s="39">
        <f t="shared" si="6"/>
        <v>0</v>
      </c>
      <c r="G127" s="104"/>
      <c r="H127" s="195">
        <f t="shared" si="5"/>
        <v>0</v>
      </c>
    </row>
    <row r="128" spans="1:8" hidden="1">
      <c r="A128" s="192" t="s">
        <v>275</v>
      </c>
      <c r="B128" s="38" t="s">
        <v>276</v>
      </c>
      <c r="C128" s="5" t="s">
        <v>66</v>
      </c>
      <c r="D128" s="36">
        <v>0</v>
      </c>
      <c r="E128" s="95"/>
      <c r="F128" s="39">
        <f t="shared" si="6"/>
        <v>0</v>
      </c>
      <c r="G128" s="95"/>
      <c r="H128" s="195">
        <f t="shared" si="5"/>
        <v>0</v>
      </c>
    </row>
    <row r="129" spans="1:8" hidden="1">
      <c r="A129" s="192"/>
      <c r="B129" s="38"/>
      <c r="C129" s="5"/>
      <c r="D129" s="36">
        <v>0</v>
      </c>
      <c r="E129" s="57"/>
      <c r="F129" s="39">
        <f t="shared" si="6"/>
        <v>0</v>
      </c>
      <c r="G129" s="57"/>
      <c r="H129" s="195">
        <f t="shared" si="5"/>
        <v>0</v>
      </c>
    </row>
    <row r="130" spans="1:8" hidden="1">
      <c r="A130" s="194" t="s">
        <v>277</v>
      </c>
      <c r="B130" s="37" t="s">
        <v>278</v>
      </c>
      <c r="C130" s="5"/>
      <c r="D130" s="36">
        <v>0</v>
      </c>
      <c r="E130" s="58"/>
      <c r="F130" s="39">
        <f t="shared" si="6"/>
        <v>0</v>
      </c>
      <c r="G130" s="58"/>
      <c r="H130" s="195">
        <f t="shared" si="5"/>
        <v>0</v>
      </c>
    </row>
    <row r="131" spans="1:8" hidden="1">
      <c r="A131" s="192" t="s">
        <v>279</v>
      </c>
      <c r="B131" s="38" t="s">
        <v>280</v>
      </c>
      <c r="C131" s="5" t="s">
        <v>66</v>
      </c>
      <c r="D131" s="36">
        <v>0</v>
      </c>
      <c r="E131" s="93"/>
      <c r="F131" s="39">
        <f t="shared" si="6"/>
        <v>0</v>
      </c>
      <c r="G131" s="93"/>
      <c r="H131" s="195">
        <f t="shared" si="5"/>
        <v>0</v>
      </c>
    </row>
    <row r="132" spans="1:8" ht="29" hidden="1">
      <c r="A132" s="192" t="s">
        <v>281</v>
      </c>
      <c r="B132" s="38" t="s">
        <v>282</v>
      </c>
      <c r="C132" s="5" t="s">
        <v>66</v>
      </c>
      <c r="D132" s="36">
        <v>0</v>
      </c>
      <c r="E132" s="84"/>
      <c r="F132" s="39">
        <f t="shared" si="6"/>
        <v>0</v>
      </c>
      <c r="G132" s="84"/>
      <c r="H132" s="195">
        <f t="shared" si="5"/>
        <v>0</v>
      </c>
    </row>
    <row r="133" spans="1:8" hidden="1">
      <c r="A133" s="192" t="s">
        <v>283</v>
      </c>
      <c r="B133" s="38" t="s">
        <v>284</v>
      </c>
      <c r="C133" s="5"/>
      <c r="D133" s="36">
        <v>0</v>
      </c>
      <c r="E133" s="58"/>
      <c r="F133" s="39">
        <f t="shared" si="6"/>
        <v>0</v>
      </c>
      <c r="G133" s="58"/>
      <c r="H133" s="195">
        <f t="shared" si="5"/>
        <v>0</v>
      </c>
    </row>
    <row r="134" spans="1:8" hidden="1">
      <c r="A134" s="192" t="s">
        <v>285</v>
      </c>
      <c r="B134" s="38" t="s">
        <v>286</v>
      </c>
      <c r="C134" s="5" t="s">
        <v>147</v>
      </c>
      <c r="D134" s="36">
        <v>0</v>
      </c>
      <c r="E134" s="75"/>
      <c r="F134" s="39">
        <f t="shared" si="6"/>
        <v>0</v>
      </c>
      <c r="G134" s="75"/>
      <c r="H134" s="195">
        <f t="shared" si="5"/>
        <v>0</v>
      </c>
    </row>
    <row r="135" spans="1:8" hidden="1">
      <c r="A135" s="192" t="s">
        <v>287</v>
      </c>
      <c r="B135" s="38" t="s">
        <v>288</v>
      </c>
      <c r="C135" s="5"/>
      <c r="D135" s="36">
        <v>0</v>
      </c>
      <c r="E135" s="57"/>
      <c r="F135" s="39">
        <f t="shared" si="6"/>
        <v>0</v>
      </c>
      <c r="G135" s="57"/>
      <c r="H135" s="195">
        <f t="shared" si="5"/>
        <v>0</v>
      </c>
    </row>
    <row r="136" spans="1:8" hidden="1">
      <c r="A136" s="192" t="s">
        <v>289</v>
      </c>
      <c r="B136" s="38" t="s">
        <v>290</v>
      </c>
      <c r="C136" s="5" t="s">
        <v>147</v>
      </c>
      <c r="D136" s="36">
        <v>0</v>
      </c>
      <c r="E136" s="105"/>
      <c r="F136" s="39">
        <f t="shared" si="6"/>
        <v>0</v>
      </c>
      <c r="G136" s="105"/>
      <c r="H136" s="195">
        <f t="shared" ref="H136:H194" si="7">G136*E136</f>
        <v>0</v>
      </c>
    </row>
    <row r="137" spans="1:8" hidden="1">
      <c r="A137" s="192" t="s">
        <v>291</v>
      </c>
      <c r="B137" s="38" t="s">
        <v>292</v>
      </c>
      <c r="C137" s="5" t="s">
        <v>147</v>
      </c>
      <c r="D137" s="36">
        <f>[1]SUMMARY!E124</f>
        <v>0</v>
      </c>
      <c r="E137" s="91"/>
      <c r="F137" s="39">
        <f t="shared" si="6"/>
        <v>0</v>
      </c>
      <c r="G137" s="91"/>
      <c r="H137" s="195">
        <f t="shared" si="7"/>
        <v>0</v>
      </c>
    </row>
    <row r="138" spans="1:8" hidden="1">
      <c r="A138" s="192" t="s">
        <v>293</v>
      </c>
      <c r="B138" s="38" t="s">
        <v>294</v>
      </c>
      <c r="C138" s="5"/>
      <c r="D138" s="36">
        <v>0</v>
      </c>
      <c r="E138" s="58"/>
      <c r="F138" s="39">
        <f t="shared" si="6"/>
        <v>0</v>
      </c>
      <c r="G138" s="58"/>
      <c r="H138" s="195">
        <f t="shared" si="7"/>
        <v>0</v>
      </c>
    </row>
    <row r="139" spans="1:8" hidden="1">
      <c r="A139" s="192" t="s">
        <v>295</v>
      </c>
      <c r="B139" s="38" t="s">
        <v>296</v>
      </c>
      <c r="C139" s="5" t="s">
        <v>66</v>
      </c>
      <c r="D139" s="36">
        <v>0</v>
      </c>
      <c r="E139" s="79"/>
      <c r="F139" s="39">
        <f t="shared" si="6"/>
        <v>0</v>
      </c>
      <c r="G139" s="79"/>
      <c r="H139" s="195">
        <f t="shared" si="7"/>
        <v>0</v>
      </c>
    </row>
    <row r="140" spans="1:8" ht="58" hidden="1">
      <c r="A140" s="192" t="s">
        <v>297</v>
      </c>
      <c r="B140" s="38" t="s">
        <v>298</v>
      </c>
      <c r="C140" s="5" t="s">
        <v>66</v>
      </c>
      <c r="D140" s="36">
        <v>0</v>
      </c>
      <c r="E140" s="106"/>
      <c r="F140" s="39">
        <f t="shared" si="6"/>
        <v>0</v>
      </c>
      <c r="G140" s="106"/>
      <c r="H140" s="195">
        <f t="shared" si="7"/>
        <v>0</v>
      </c>
    </row>
    <row r="141" spans="1:8" hidden="1">
      <c r="A141" s="192"/>
      <c r="B141" s="38"/>
      <c r="C141" s="5"/>
      <c r="D141" s="36">
        <v>0</v>
      </c>
      <c r="E141" s="57"/>
      <c r="F141" s="39">
        <f t="shared" si="6"/>
        <v>0</v>
      </c>
      <c r="G141" s="57"/>
      <c r="H141" s="195">
        <f t="shared" si="7"/>
        <v>0</v>
      </c>
    </row>
    <row r="142" spans="1:8" hidden="1">
      <c r="A142" s="194" t="s">
        <v>299</v>
      </c>
      <c r="B142" s="37" t="s">
        <v>300</v>
      </c>
      <c r="C142" s="5"/>
      <c r="D142" s="36">
        <v>0</v>
      </c>
      <c r="E142" s="57"/>
      <c r="F142" s="39">
        <f t="shared" si="6"/>
        <v>0</v>
      </c>
      <c r="G142" s="57"/>
      <c r="H142" s="195">
        <f t="shared" si="7"/>
        <v>0</v>
      </c>
    </row>
    <row r="143" spans="1:8" hidden="1">
      <c r="A143" s="192" t="s">
        <v>301</v>
      </c>
      <c r="B143" s="38" t="s">
        <v>302</v>
      </c>
      <c r="C143" s="5"/>
      <c r="D143" s="36">
        <v>0</v>
      </c>
      <c r="E143" s="58"/>
      <c r="F143" s="39">
        <f t="shared" si="6"/>
        <v>0</v>
      </c>
      <c r="G143" s="58"/>
      <c r="H143" s="195">
        <f t="shared" si="7"/>
        <v>0</v>
      </c>
    </row>
    <row r="144" spans="1:8" hidden="1">
      <c r="A144" s="192" t="s">
        <v>303</v>
      </c>
      <c r="B144" s="38" t="s">
        <v>304</v>
      </c>
      <c r="C144" s="5" t="s">
        <v>66</v>
      </c>
      <c r="D144" s="36">
        <f>[1]SUMMARY!E126</f>
        <v>0</v>
      </c>
      <c r="E144" s="107"/>
      <c r="F144" s="39">
        <f t="shared" si="6"/>
        <v>0</v>
      </c>
      <c r="G144" s="107"/>
      <c r="H144" s="195">
        <f t="shared" si="7"/>
        <v>0</v>
      </c>
    </row>
    <row r="145" spans="1:8" hidden="1">
      <c r="A145" s="192" t="s">
        <v>305</v>
      </c>
      <c r="B145" s="38" t="s">
        <v>306</v>
      </c>
      <c r="C145" s="5"/>
      <c r="D145" s="36">
        <v>0</v>
      </c>
      <c r="E145" s="58"/>
      <c r="F145" s="39">
        <f t="shared" si="6"/>
        <v>0</v>
      </c>
      <c r="G145" s="58"/>
      <c r="H145" s="195">
        <f t="shared" si="7"/>
        <v>0</v>
      </c>
    </row>
    <row r="146" spans="1:8" hidden="1">
      <c r="A146" s="192" t="s">
        <v>307</v>
      </c>
      <c r="B146" s="38" t="s">
        <v>308</v>
      </c>
      <c r="C146" s="5" t="s">
        <v>66</v>
      </c>
      <c r="D146" s="36">
        <f>[1]SUMMARY!E128</f>
        <v>18.86</v>
      </c>
      <c r="E146" s="108">
        <v>3700</v>
      </c>
      <c r="F146" s="39">
        <f t="shared" si="6"/>
        <v>69782</v>
      </c>
      <c r="G146" s="108"/>
      <c r="H146" s="195">
        <f t="shared" si="7"/>
        <v>0</v>
      </c>
    </row>
    <row r="147" spans="1:8" hidden="1">
      <c r="A147" s="192" t="s">
        <v>309</v>
      </c>
      <c r="B147" s="38" t="s">
        <v>310</v>
      </c>
      <c r="C147" s="5" t="s">
        <v>66</v>
      </c>
      <c r="D147" s="36">
        <f>[1]SUMMARY!E129</f>
        <v>18.86</v>
      </c>
      <c r="E147" s="106">
        <v>7200</v>
      </c>
      <c r="F147" s="39">
        <f t="shared" ref="F147:F165" si="8">D147*E147</f>
        <v>135792</v>
      </c>
      <c r="G147" s="106"/>
      <c r="H147" s="195">
        <f t="shared" si="7"/>
        <v>0</v>
      </c>
    </row>
    <row r="148" spans="1:8" hidden="1">
      <c r="A148" s="192" t="s">
        <v>311</v>
      </c>
      <c r="B148" s="38" t="s">
        <v>312</v>
      </c>
      <c r="C148" s="5" t="s">
        <v>66</v>
      </c>
      <c r="D148" s="36">
        <v>0</v>
      </c>
      <c r="E148" s="58"/>
      <c r="F148" s="39">
        <f t="shared" si="8"/>
        <v>0</v>
      </c>
      <c r="G148" s="58"/>
      <c r="H148" s="195">
        <f t="shared" si="7"/>
        <v>0</v>
      </c>
    </row>
    <row r="149" spans="1:8" ht="58" hidden="1">
      <c r="A149" s="192" t="s">
        <v>313</v>
      </c>
      <c r="B149" s="38" t="s">
        <v>314</v>
      </c>
      <c r="C149" s="5" t="s">
        <v>168</v>
      </c>
      <c r="D149" s="36">
        <f>[1]SUMMARY!E130</f>
        <v>11.315999999999999</v>
      </c>
      <c r="E149" s="108">
        <v>1450</v>
      </c>
      <c r="F149" s="39">
        <f t="shared" si="8"/>
        <v>16408.199999999997</v>
      </c>
      <c r="G149" s="108"/>
      <c r="H149" s="195">
        <f t="shared" si="7"/>
        <v>0</v>
      </c>
    </row>
    <row r="150" spans="1:8" hidden="1">
      <c r="A150" s="192" t="s">
        <v>315</v>
      </c>
      <c r="B150" s="38" t="s">
        <v>316</v>
      </c>
      <c r="C150" s="5"/>
      <c r="D150" s="36">
        <v>0</v>
      </c>
      <c r="E150" s="58"/>
      <c r="F150" s="39">
        <f t="shared" si="8"/>
        <v>0</v>
      </c>
      <c r="G150" s="58"/>
      <c r="H150" s="195">
        <f t="shared" si="7"/>
        <v>0</v>
      </c>
    </row>
    <row r="151" spans="1:8" hidden="1">
      <c r="A151" s="192" t="s">
        <v>317</v>
      </c>
      <c r="B151" s="38" t="s">
        <v>318</v>
      </c>
      <c r="C151" s="5" t="s">
        <v>66</v>
      </c>
      <c r="D151" s="36">
        <v>0</v>
      </c>
      <c r="E151" s="105"/>
      <c r="F151" s="39">
        <f t="shared" si="8"/>
        <v>0</v>
      </c>
      <c r="G151" s="105"/>
      <c r="H151" s="195">
        <f t="shared" si="7"/>
        <v>0</v>
      </c>
    </row>
    <row r="152" spans="1:8" ht="29" hidden="1">
      <c r="A152" s="192" t="s">
        <v>319</v>
      </c>
      <c r="B152" s="38" t="s">
        <v>320</v>
      </c>
      <c r="C152" s="5"/>
      <c r="D152" s="36">
        <v>0</v>
      </c>
      <c r="E152" s="54"/>
      <c r="F152" s="39">
        <f t="shared" si="8"/>
        <v>0</v>
      </c>
      <c r="G152" s="54"/>
      <c r="H152" s="195">
        <f t="shared" si="7"/>
        <v>0</v>
      </c>
    </row>
    <row r="153" spans="1:8" hidden="1">
      <c r="A153" s="192" t="s">
        <v>321</v>
      </c>
      <c r="B153" s="38" t="s">
        <v>318</v>
      </c>
      <c r="C153" s="5" t="s">
        <v>66</v>
      </c>
      <c r="D153" s="36">
        <f>[1]SUMMARY!E132</f>
        <v>2.52</v>
      </c>
      <c r="E153" s="109">
        <v>16000</v>
      </c>
      <c r="F153" s="39">
        <f t="shared" si="8"/>
        <v>40320</v>
      </c>
      <c r="G153" s="109"/>
      <c r="H153" s="195">
        <f t="shared" si="7"/>
        <v>0</v>
      </c>
    </row>
    <row r="154" spans="1:8" hidden="1">
      <c r="A154" s="192" t="s">
        <v>322</v>
      </c>
      <c r="B154" s="38" t="s">
        <v>323</v>
      </c>
      <c r="C154" s="5" t="s">
        <v>66</v>
      </c>
      <c r="D154" s="36">
        <f>[1]SUMMARY!E133</f>
        <v>0</v>
      </c>
      <c r="E154" s="110"/>
      <c r="F154" s="39">
        <f t="shared" si="8"/>
        <v>0</v>
      </c>
      <c r="G154" s="110"/>
      <c r="H154" s="195">
        <f t="shared" si="7"/>
        <v>0</v>
      </c>
    </row>
    <row r="155" spans="1:8" ht="29" hidden="1">
      <c r="A155" s="192" t="s">
        <v>324</v>
      </c>
      <c r="B155" s="38" t="s">
        <v>325</v>
      </c>
      <c r="C155" s="5" t="s">
        <v>66</v>
      </c>
      <c r="D155" s="36">
        <v>0</v>
      </c>
      <c r="E155" s="111"/>
      <c r="F155" s="39">
        <f t="shared" si="8"/>
        <v>0</v>
      </c>
      <c r="G155" s="111"/>
      <c r="H155" s="195">
        <f t="shared" si="7"/>
        <v>0</v>
      </c>
    </row>
    <row r="156" spans="1:8" hidden="1">
      <c r="A156" s="192"/>
      <c r="B156" s="38"/>
      <c r="C156" s="5"/>
      <c r="D156" s="36">
        <v>0</v>
      </c>
      <c r="E156" s="57"/>
      <c r="F156" s="39">
        <f t="shared" si="8"/>
        <v>0</v>
      </c>
      <c r="G156" s="57"/>
      <c r="H156" s="195">
        <f t="shared" si="7"/>
        <v>0</v>
      </c>
    </row>
    <row r="157" spans="1:8" hidden="1">
      <c r="A157" s="194" t="s">
        <v>326</v>
      </c>
      <c r="B157" s="37" t="s">
        <v>327</v>
      </c>
      <c r="C157" s="5"/>
      <c r="D157" s="36">
        <v>0</v>
      </c>
      <c r="E157" s="57"/>
      <c r="F157" s="39">
        <f t="shared" si="8"/>
        <v>0</v>
      </c>
      <c r="G157" s="57"/>
      <c r="H157" s="195">
        <f t="shared" si="7"/>
        <v>0</v>
      </c>
    </row>
    <row r="158" spans="1:8" hidden="1">
      <c r="A158" s="192" t="s">
        <v>328</v>
      </c>
      <c r="B158" s="38" t="s">
        <v>329</v>
      </c>
      <c r="C158" s="5" t="s">
        <v>66</v>
      </c>
      <c r="D158" s="36">
        <f>[1]SUMMARY!E137</f>
        <v>517.34499999999991</v>
      </c>
      <c r="E158" s="75">
        <v>450</v>
      </c>
      <c r="F158" s="39">
        <f t="shared" si="8"/>
        <v>232805.24999999997</v>
      </c>
      <c r="G158" s="75"/>
      <c r="H158" s="195">
        <f t="shared" si="7"/>
        <v>0</v>
      </c>
    </row>
    <row r="159" spans="1:8" hidden="1">
      <c r="A159" s="192" t="s">
        <v>330</v>
      </c>
      <c r="B159" s="38" t="s">
        <v>331</v>
      </c>
      <c r="C159" s="5" t="s">
        <v>66</v>
      </c>
      <c r="D159" s="36">
        <f>[1]SUMMARY!E138</f>
        <v>351.93999999999994</v>
      </c>
      <c r="E159" s="104">
        <v>390</v>
      </c>
      <c r="F159" s="39">
        <f t="shared" si="8"/>
        <v>137256.59999999998</v>
      </c>
      <c r="G159" s="104"/>
      <c r="H159" s="195">
        <f t="shared" si="7"/>
        <v>0</v>
      </c>
    </row>
    <row r="160" spans="1:8" hidden="1">
      <c r="A160" s="192" t="s">
        <v>332</v>
      </c>
      <c r="B160" s="38" t="s">
        <v>333</v>
      </c>
      <c r="C160" s="5" t="s">
        <v>66</v>
      </c>
      <c r="D160" s="36">
        <f>[1]SUMMARY!E139</f>
        <v>208.66</v>
      </c>
      <c r="E160" s="97">
        <v>625</v>
      </c>
      <c r="F160" s="39">
        <f t="shared" si="8"/>
        <v>130412.5</v>
      </c>
      <c r="G160" s="97"/>
      <c r="H160" s="195">
        <f t="shared" si="7"/>
        <v>0</v>
      </c>
    </row>
    <row r="161" spans="1:8" hidden="1">
      <c r="A161" s="192"/>
      <c r="B161" s="38"/>
      <c r="C161" s="5"/>
      <c r="D161" s="36">
        <v>0</v>
      </c>
      <c r="E161" s="57"/>
      <c r="F161" s="39">
        <f t="shared" si="8"/>
        <v>0</v>
      </c>
      <c r="G161" s="57"/>
      <c r="H161" s="195">
        <f t="shared" si="7"/>
        <v>0</v>
      </c>
    </row>
    <row r="162" spans="1:8" hidden="1">
      <c r="A162" s="194" t="s">
        <v>334</v>
      </c>
      <c r="B162" s="37" t="s">
        <v>335</v>
      </c>
      <c r="C162" s="5"/>
      <c r="D162" s="36">
        <v>0</v>
      </c>
      <c r="E162" s="57"/>
      <c r="F162" s="39">
        <f t="shared" si="8"/>
        <v>0</v>
      </c>
      <c r="G162" s="57"/>
      <c r="H162" s="195">
        <f t="shared" si="7"/>
        <v>0</v>
      </c>
    </row>
    <row r="163" spans="1:8" hidden="1">
      <c r="A163" s="192" t="s">
        <v>336</v>
      </c>
      <c r="B163" s="38" t="s">
        <v>337</v>
      </c>
      <c r="C163" s="5" t="s">
        <v>66</v>
      </c>
      <c r="D163" s="36">
        <f>[1]SUMMARY!E141</f>
        <v>351.93999999999994</v>
      </c>
      <c r="E163" s="76">
        <v>375</v>
      </c>
      <c r="F163" s="39">
        <f t="shared" si="8"/>
        <v>131977.49999999997</v>
      </c>
      <c r="G163" s="76"/>
      <c r="H163" s="195">
        <f t="shared" si="7"/>
        <v>0</v>
      </c>
    </row>
    <row r="164" spans="1:8" ht="29" hidden="1">
      <c r="A164" s="192" t="s">
        <v>338</v>
      </c>
      <c r="B164" s="38" t="s">
        <v>339</v>
      </c>
      <c r="C164" s="5" t="s">
        <v>66</v>
      </c>
      <c r="D164" s="36">
        <f>[1]SUMMARY!E142</f>
        <v>517.34499999999991</v>
      </c>
      <c r="E164" s="84">
        <v>450</v>
      </c>
      <c r="F164" s="39">
        <f t="shared" si="8"/>
        <v>232805.24999999997</v>
      </c>
      <c r="G164" s="84"/>
      <c r="H164" s="195">
        <f t="shared" si="7"/>
        <v>0</v>
      </c>
    </row>
    <row r="165" spans="1:8" hidden="1">
      <c r="A165" s="192"/>
      <c r="B165" s="38"/>
      <c r="C165" s="5"/>
      <c r="D165" s="36">
        <v>0</v>
      </c>
      <c r="E165" s="58"/>
      <c r="F165" s="39">
        <f t="shared" si="8"/>
        <v>0</v>
      </c>
      <c r="G165" s="58"/>
      <c r="H165" s="195">
        <f t="shared" si="7"/>
        <v>0</v>
      </c>
    </row>
    <row r="166" spans="1:8" hidden="1">
      <c r="A166" s="192"/>
      <c r="B166" s="38"/>
      <c r="C166" s="5"/>
      <c r="D166" s="36"/>
      <c r="E166" s="57"/>
      <c r="F166" s="39"/>
      <c r="G166" s="57"/>
      <c r="H166" s="195">
        <f t="shared" si="7"/>
        <v>0</v>
      </c>
    </row>
    <row r="167" spans="1:8" hidden="1">
      <c r="A167" s="194" t="s">
        <v>340</v>
      </c>
      <c r="B167" s="37" t="s">
        <v>341</v>
      </c>
      <c r="C167" s="5"/>
      <c r="D167" s="36">
        <v>0</v>
      </c>
      <c r="E167" s="57"/>
      <c r="F167" s="39">
        <f t="shared" ref="F167:F194" si="9">D167*E167</f>
        <v>0</v>
      </c>
      <c r="G167" s="57"/>
      <c r="H167" s="195">
        <f t="shared" si="7"/>
        <v>0</v>
      </c>
    </row>
    <row r="168" spans="1:8" hidden="1">
      <c r="A168" s="192" t="s">
        <v>342</v>
      </c>
      <c r="B168" s="38" t="s">
        <v>343</v>
      </c>
      <c r="C168" s="5" t="s">
        <v>59</v>
      </c>
      <c r="D168" s="36">
        <f>[1]SUMMARY!E142</f>
        <v>517.34499999999991</v>
      </c>
      <c r="E168" s="91">
        <v>2500</v>
      </c>
      <c r="F168" s="39">
        <f t="shared" si="9"/>
        <v>1293362.4999999998</v>
      </c>
      <c r="G168" s="91"/>
      <c r="H168" s="195">
        <f t="shared" si="7"/>
        <v>0</v>
      </c>
    </row>
    <row r="169" spans="1:8" hidden="1">
      <c r="A169" s="192" t="s">
        <v>344</v>
      </c>
      <c r="B169" s="38" t="s">
        <v>345</v>
      </c>
      <c r="C169" s="5" t="s">
        <v>59</v>
      </c>
      <c r="D169" s="36">
        <f>[1]SUMMARY!E146</f>
        <v>0</v>
      </c>
      <c r="E169" s="91"/>
      <c r="F169" s="39">
        <f t="shared" si="9"/>
        <v>0</v>
      </c>
      <c r="G169" s="91"/>
      <c r="H169" s="195">
        <f t="shared" si="7"/>
        <v>0</v>
      </c>
    </row>
    <row r="170" spans="1:8" ht="29" hidden="1">
      <c r="A170" s="192" t="s">
        <v>346</v>
      </c>
      <c r="B170" s="38" t="s">
        <v>347</v>
      </c>
      <c r="C170" s="5" t="s">
        <v>66</v>
      </c>
      <c r="D170" s="36">
        <f>[1]SUMMARY!E147</f>
        <v>0</v>
      </c>
      <c r="E170" s="93"/>
      <c r="F170" s="39">
        <f t="shared" si="9"/>
        <v>0</v>
      </c>
      <c r="G170" s="93"/>
      <c r="H170" s="195">
        <f t="shared" si="7"/>
        <v>0</v>
      </c>
    </row>
    <row r="171" spans="1:8" ht="29" hidden="1">
      <c r="A171" s="192" t="s">
        <v>348</v>
      </c>
      <c r="B171" s="38" t="s">
        <v>349</v>
      </c>
      <c r="C171" s="5" t="s">
        <v>147</v>
      </c>
      <c r="D171" s="36">
        <f>[1]SUMMARY!E148</f>
        <v>425.94000000000005</v>
      </c>
      <c r="E171" s="84">
        <v>325</v>
      </c>
      <c r="F171" s="39">
        <f t="shared" si="9"/>
        <v>138430.50000000003</v>
      </c>
      <c r="G171" s="84"/>
      <c r="H171" s="195">
        <f t="shared" si="7"/>
        <v>0</v>
      </c>
    </row>
    <row r="172" spans="1:8" ht="29" hidden="1">
      <c r="A172" s="192" t="s">
        <v>350</v>
      </c>
      <c r="B172" s="38" t="s">
        <v>351</v>
      </c>
      <c r="C172" s="5" t="s">
        <v>147</v>
      </c>
      <c r="D172" s="36">
        <f>[1]SUMMARY!E149</f>
        <v>0</v>
      </c>
      <c r="E172" s="112"/>
      <c r="F172" s="39">
        <f t="shared" si="9"/>
        <v>0</v>
      </c>
      <c r="G172" s="112"/>
      <c r="H172" s="195">
        <f t="shared" si="7"/>
        <v>0</v>
      </c>
    </row>
    <row r="173" spans="1:8" hidden="1">
      <c r="A173" s="192" t="s">
        <v>352</v>
      </c>
      <c r="B173" s="38" t="s">
        <v>353</v>
      </c>
      <c r="C173" s="5"/>
      <c r="D173" s="36">
        <v>0</v>
      </c>
      <c r="E173" s="57"/>
      <c r="F173" s="39">
        <f t="shared" si="9"/>
        <v>0</v>
      </c>
      <c r="G173" s="57"/>
      <c r="H173" s="195">
        <f t="shared" si="7"/>
        <v>0</v>
      </c>
    </row>
    <row r="174" spans="1:8" hidden="1">
      <c r="A174" s="192" t="s">
        <v>354</v>
      </c>
      <c r="B174" s="38" t="s">
        <v>355</v>
      </c>
      <c r="C174" s="5" t="s">
        <v>147</v>
      </c>
      <c r="D174" s="36">
        <f>[1]SUMMARY!E151</f>
        <v>438.71820000000008</v>
      </c>
      <c r="E174" s="113">
        <v>375</v>
      </c>
      <c r="F174" s="39">
        <f t="shared" si="9"/>
        <v>164519.32500000004</v>
      </c>
      <c r="G174" s="113"/>
      <c r="H174" s="195">
        <f t="shared" si="7"/>
        <v>0</v>
      </c>
    </row>
    <row r="175" spans="1:8" ht="15" hidden="1">
      <c r="A175" s="192" t="s">
        <v>356</v>
      </c>
      <c r="B175" s="38" t="s">
        <v>357</v>
      </c>
      <c r="C175" s="5" t="s">
        <v>147</v>
      </c>
      <c r="D175" s="36">
        <f>[1]SUMMARY!E153</f>
        <v>438.71820000000008</v>
      </c>
      <c r="E175" s="114">
        <v>425</v>
      </c>
      <c r="F175" s="39">
        <f t="shared" si="9"/>
        <v>186455.23500000004</v>
      </c>
      <c r="G175" s="114"/>
      <c r="H175" s="195">
        <f t="shared" si="7"/>
        <v>0</v>
      </c>
    </row>
    <row r="176" spans="1:8" hidden="1">
      <c r="A176" s="192" t="s">
        <v>358</v>
      </c>
      <c r="B176" s="38" t="s">
        <v>359</v>
      </c>
      <c r="C176" s="5" t="s">
        <v>147</v>
      </c>
      <c r="D176" s="36">
        <f>[1]SUMMARY!E154</f>
        <v>0</v>
      </c>
      <c r="E176" s="115"/>
      <c r="F176" s="39">
        <f t="shared" si="9"/>
        <v>0</v>
      </c>
      <c r="G176" s="115"/>
      <c r="H176" s="195">
        <f t="shared" si="7"/>
        <v>0</v>
      </c>
    </row>
    <row r="177" spans="1:8" hidden="1">
      <c r="A177" s="192"/>
      <c r="B177" s="38"/>
      <c r="C177" s="5"/>
      <c r="D177" s="36"/>
      <c r="E177" s="57"/>
      <c r="F177" s="39">
        <f t="shared" si="9"/>
        <v>0</v>
      </c>
      <c r="G177" s="57"/>
      <c r="H177" s="195">
        <f t="shared" si="7"/>
        <v>0</v>
      </c>
    </row>
    <row r="178" spans="1:8" hidden="1">
      <c r="A178" s="194" t="s">
        <v>360</v>
      </c>
      <c r="B178" s="37" t="s">
        <v>361</v>
      </c>
      <c r="C178" s="5"/>
      <c r="D178" s="36">
        <v>0</v>
      </c>
      <c r="E178" s="57"/>
      <c r="F178" s="39">
        <f t="shared" si="9"/>
        <v>0</v>
      </c>
      <c r="G178" s="57"/>
      <c r="H178" s="195">
        <f t="shared" si="7"/>
        <v>0</v>
      </c>
    </row>
    <row r="179" spans="1:8" hidden="1">
      <c r="A179" s="192" t="s">
        <v>362</v>
      </c>
      <c r="B179" s="38" t="s">
        <v>363</v>
      </c>
      <c r="C179" s="5" t="s">
        <v>116</v>
      </c>
      <c r="D179" s="36">
        <v>0</v>
      </c>
      <c r="E179" s="116"/>
      <c r="F179" s="39">
        <f t="shared" si="9"/>
        <v>0</v>
      </c>
      <c r="G179" s="116"/>
      <c r="H179" s="195">
        <f t="shared" si="7"/>
        <v>0</v>
      </c>
    </row>
    <row r="180" spans="1:8" hidden="1">
      <c r="A180" s="192" t="s">
        <v>364</v>
      </c>
      <c r="B180" s="38" t="s">
        <v>365</v>
      </c>
      <c r="C180" s="5" t="s">
        <v>66</v>
      </c>
      <c r="D180" s="36">
        <f>[1]SUMMARY!E156</f>
        <v>15.899999999999999</v>
      </c>
      <c r="E180" s="108">
        <v>7000</v>
      </c>
      <c r="F180" s="39">
        <f t="shared" si="9"/>
        <v>111299.99999999999</v>
      </c>
      <c r="G180" s="108"/>
      <c r="H180" s="195">
        <f t="shared" si="7"/>
        <v>0</v>
      </c>
    </row>
    <row r="181" spans="1:8" hidden="1">
      <c r="A181" s="192" t="s">
        <v>366</v>
      </c>
      <c r="B181" s="38" t="s">
        <v>367</v>
      </c>
      <c r="C181" s="5" t="s">
        <v>66</v>
      </c>
      <c r="D181" s="36">
        <v>0</v>
      </c>
      <c r="E181" s="117"/>
      <c r="F181" s="39">
        <f t="shared" si="9"/>
        <v>0</v>
      </c>
      <c r="G181" s="117"/>
      <c r="H181" s="195">
        <f t="shared" si="7"/>
        <v>0</v>
      </c>
    </row>
    <row r="182" spans="1:8" ht="58" hidden="1">
      <c r="A182" s="192" t="s">
        <v>368</v>
      </c>
      <c r="B182" s="38" t="s">
        <v>369</v>
      </c>
      <c r="C182" s="5"/>
      <c r="D182" s="36">
        <v>0</v>
      </c>
      <c r="E182" s="54"/>
      <c r="F182" s="39">
        <f t="shared" si="9"/>
        <v>0</v>
      </c>
      <c r="G182" s="54"/>
      <c r="H182" s="195">
        <f t="shared" si="7"/>
        <v>0</v>
      </c>
    </row>
    <row r="183" spans="1:8" ht="43.5" hidden="1">
      <c r="A183" s="192" t="s">
        <v>370</v>
      </c>
      <c r="B183" s="38" t="s">
        <v>371</v>
      </c>
      <c r="C183" s="5" t="s">
        <v>193</v>
      </c>
      <c r="D183" s="36">
        <f>[1]SUMMARY!E158</f>
        <v>0</v>
      </c>
      <c r="E183" s="93"/>
      <c r="F183" s="39">
        <f t="shared" si="9"/>
        <v>0</v>
      </c>
      <c r="G183" s="93"/>
      <c r="H183" s="195">
        <f t="shared" si="7"/>
        <v>0</v>
      </c>
    </row>
    <row r="184" spans="1:8" ht="43.5" hidden="1">
      <c r="A184" s="192" t="s">
        <v>372</v>
      </c>
      <c r="B184" s="38" t="s">
        <v>373</v>
      </c>
      <c r="C184" s="5" t="s">
        <v>193</v>
      </c>
      <c r="D184" s="36">
        <f>[1]SUMMARY!E159</f>
        <v>0</v>
      </c>
      <c r="E184" s="118"/>
      <c r="F184" s="39">
        <f t="shared" si="9"/>
        <v>0</v>
      </c>
      <c r="G184" s="118"/>
      <c r="H184" s="195">
        <f t="shared" si="7"/>
        <v>0</v>
      </c>
    </row>
    <row r="185" spans="1:8" ht="43.5" hidden="1">
      <c r="A185" s="192" t="s">
        <v>374</v>
      </c>
      <c r="B185" s="38" t="s">
        <v>375</v>
      </c>
      <c r="C185" s="5" t="s">
        <v>193</v>
      </c>
      <c r="D185" s="36">
        <f>[1]SUMMARY!E160</f>
        <v>0</v>
      </c>
      <c r="E185" s="119"/>
      <c r="F185" s="39">
        <f t="shared" si="9"/>
        <v>0</v>
      </c>
      <c r="G185" s="119"/>
      <c r="H185" s="195">
        <f t="shared" si="7"/>
        <v>0</v>
      </c>
    </row>
    <row r="186" spans="1:8" ht="43.5" hidden="1">
      <c r="A186" s="192" t="s">
        <v>376</v>
      </c>
      <c r="B186" s="38" t="s">
        <v>377</v>
      </c>
      <c r="C186" s="5" t="s">
        <v>193</v>
      </c>
      <c r="D186" s="36">
        <f>[1]SUMMARY!E161</f>
        <v>0</v>
      </c>
      <c r="E186" s="120"/>
      <c r="F186" s="39">
        <f t="shared" si="9"/>
        <v>0</v>
      </c>
      <c r="G186" s="120"/>
      <c r="H186" s="195">
        <f t="shared" si="7"/>
        <v>0</v>
      </c>
    </row>
    <row r="187" spans="1:8" ht="43.5" hidden="1">
      <c r="A187" s="192" t="s">
        <v>378</v>
      </c>
      <c r="B187" s="38" t="s">
        <v>379</v>
      </c>
      <c r="C187" s="5" t="s">
        <v>193</v>
      </c>
      <c r="D187" s="36">
        <f>[1]SUMMARY!E162</f>
        <v>0</v>
      </c>
      <c r="E187" s="93"/>
      <c r="F187" s="39">
        <f t="shared" si="9"/>
        <v>0</v>
      </c>
      <c r="G187" s="93"/>
      <c r="H187" s="195">
        <f t="shared" si="7"/>
        <v>0</v>
      </c>
    </row>
    <row r="188" spans="1:8" ht="43.5" hidden="1">
      <c r="A188" s="192" t="s">
        <v>380</v>
      </c>
      <c r="B188" s="38" t="s">
        <v>381</v>
      </c>
      <c r="C188" s="5" t="s">
        <v>193</v>
      </c>
      <c r="D188" s="36">
        <f>[1]SUMMARY!E163</f>
        <v>0</v>
      </c>
      <c r="E188" s="93"/>
      <c r="F188" s="39">
        <f t="shared" si="9"/>
        <v>0</v>
      </c>
      <c r="G188" s="93"/>
      <c r="H188" s="195">
        <f t="shared" si="7"/>
        <v>0</v>
      </c>
    </row>
    <row r="189" spans="1:8" ht="29" hidden="1">
      <c r="A189" s="192" t="s">
        <v>382</v>
      </c>
      <c r="B189" s="38" t="s">
        <v>383</v>
      </c>
      <c r="C189" s="5"/>
      <c r="D189" s="36">
        <f>[1]SUMMARY!E164</f>
        <v>0</v>
      </c>
      <c r="E189" s="54"/>
      <c r="F189" s="39">
        <f t="shared" si="9"/>
        <v>0</v>
      </c>
      <c r="G189" s="54"/>
      <c r="H189" s="195">
        <f t="shared" si="7"/>
        <v>0</v>
      </c>
    </row>
    <row r="190" spans="1:8" hidden="1">
      <c r="A190" s="192" t="s">
        <v>384</v>
      </c>
      <c r="B190" s="38" t="s">
        <v>385</v>
      </c>
      <c r="C190" s="5" t="s">
        <v>116</v>
      </c>
      <c r="D190" s="36">
        <f>[1]SUMMARY!E165</f>
        <v>0</v>
      </c>
      <c r="E190" s="121"/>
      <c r="F190" s="39">
        <f t="shared" si="9"/>
        <v>0</v>
      </c>
      <c r="G190" s="121"/>
      <c r="H190" s="195">
        <f t="shared" si="7"/>
        <v>0</v>
      </c>
    </row>
    <row r="191" spans="1:8" hidden="1">
      <c r="A191" s="192" t="s">
        <v>386</v>
      </c>
      <c r="B191" s="38" t="s">
        <v>387</v>
      </c>
      <c r="C191" s="5" t="s">
        <v>116</v>
      </c>
      <c r="D191" s="36">
        <f>[1]SUMMARY!E166</f>
        <v>0</v>
      </c>
      <c r="E191" s="122"/>
      <c r="F191" s="39">
        <f t="shared" si="9"/>
        <v>0</v>
      </c>
      <c r="G191" s="122"/>
      <c r="H191" s="195">
        <f t="shared" si="7"/>
        <v>0</v>
      </c>
    </row>
    <row r="192" spans="1:8" hidden="1">
      <c r="A192" s="192" t="s">
        <v>388</v>
      </c>
      <c r="B192" s="38" t="s">
        <v>389</v>
      </c>
      <c r="C192" s="5" t="s">
        <v>116</v>
      </c>
      <c r="D192" s="36">
        <f>[1]SUMMARY!E167</f>
        <v>0</v>
      </c>
      <c r="E192" s="123"/>
      <c r="F192" s="39">
        <f t="shared" si="9"/>
        <v>0</v>
      </c>
      <c r="G192" s="123"/>
      <c r="H192" s="195">
        <f t="shared" si="7"/>
        <v>0</v>
      </c>
    </row>
    <row r="193" spans="1:11" hidden="1">
      <c r="A193" s="192" t="s">
        <v>390</v>
      </c>
      <c r="B193" s="38" t="s">
        <v>391</v>
      </c>
      <c r="C193" s="5" t="s">
        <v>116</v>
      </c>
      <c r="D193" s="36">
        <f>[1]SUMMARY!E168</f>
        <v>0</v>
      </c>
      <c r="E193" s="124"/>
      <c r="F193" s="39">
        <f t="shared" si="9"/>
        <v>0</v>
      </c>
      <c r="G193" s="124"/>
      <c r="H193" s="195">
        <f t="shared" si="7"/>
        <v>0</v>
      </c>
    </row>
    <row r="194" spans="1:11" hidden="1">
      <c r="A194" s="192" t="s">
        <v>392</v>
      </c>
      <c r="B194" s="38" t="s">
        <v>393</v>
      </c>
      <c r="C194" s="5" t="s">
        <v>116</v>
      </c>
      <c r="D194" s="36">
        <f>[1]SUMMARY!E169</f>
        <v>0</v>
      </c>
      <c r="E194" s="66"/>
      <c r="F194" s="39">
        <f t="shared" si="9"/>
        <v>0</v>
      </c>
      <c r="G194" s="66"/>
      <c r="H194" s="195">
        <f t="shared" si="7"/>
        <v>0</v>
      </c>
    </row>
    <row r="195" spans="1:11" hidden="1">
      <c r="A195" s="192"/>
      <c r="B195" s="38"/>
      <c r="C195" s="5"/>
      <c r="D195" s="36"/>
      <c r="E195" s="41"/>
      <c r="F195" s="39"/>
      <c r="G195" s="41"/>
      <c r="H195" s="195"/>
    </row>
    <row r="196" spans="1:11">
      <c r="A196" s="192"/>
      <c r="B196" s="33" t="s">
        <v>394</v>
      </c>
      <c r="C196" s="5"/>
      <c r="D196" s="36"/>
      <c r="E196" s="41"/>
      <c r="F196" s="39">
        <f>SUM(F7:F194)</f>
        <v>8984395.1708749998</v>
      </c>
      <c r="G196" s="41"/>
      <c r="H196" s="196">
        <f>SUM(H7:H194)</f>
        <v>3552776.7867984707</v>
      </c>
      <c r="J196" s="46"/>
      <c r="K196" s="46"/>
    </row>
    <row r="197" spans="1:11">
      <c r="A197" s="192"/>
      <c r="B197" s="11" t="s">
        <v>395</v>
      </c>
      <c r="C197" s="5"/>
      <c r="D197" s="36"/>
      <c r="E197" s="41"/>
      <c r="F197" s="39">
        <f>F196*0.18</f>
        <v>1617191.1307575</v>
      </c>
      <c r="G197" s="41"/>
      <c r="H197" s="196">
        <f>H196*0.18</f>
        <v>639499.82162372465</v>
      </c>
      <c r="K197" s="42"/>
    </row>
    <row r="198" spans="1:11" ht="15" thickBot="1">
      <c r="A198" s="197"/>
      <c r="B198" s="198" t="s">
        <v>396</v>
      </c>
      <c r="C198" s="199"/>
      <c r="D198" s="200"/>
      <c r="E198" s="201"/>
      <c r="F198" s="202">
        <f>SUM(F196:F197)</f>
        <v>10601586.301632499</v>
      </c>
      <c r="G198" s="201"/>
      <c r="H198" s="203">
        <f>SUM(H196:H197)</f>
        <v>4192276.6084221955</v>
      </c>
      <c r="K198" s="46"/>
    </row>
    <row r="204" spans="1:11">
      <c r="F204" s="42"/>
      <c r="H204" s="42"/>
    </row>
  </sheetData>
  <mergeCells count="5">
    <mergeCell ref="A1:H1"/>
    <mergeCell ref="B2:H2"/>
    <mergeCell ref="B3:H3"/>
    <mergeCell ref="E4:F4"/>
    <mergeCell ref="G4:H4"/>
  </mergeCells>
  <pageMargins left="0.7" right="0.7" top="0.75" bottom="0.75" header="0.3" footer="0.3"/>
  <pageSetup scale="8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91BF5-0645-420A-A71E-9FB90AA12C29}">
  <dimension ref="A1:J20"/>
  <sheetViews>
    <sheetView view="pageBreakPreview" zoomScale="60" zoomScaleNormal="100" workbookViewId="0">
      <selection activeCell="C32" sqref="C32"/>
    </sheetView>
  </sheetViews>
  <sheetFormatPr defaultRowHeight="14.5"/>
  <cols>
    <col min="1" max="1" width="8.81640625" style="8"/>
    <col min="2" max="2" width="28.81640625" style="8" customWidth="1"/>
    <col min="3" max="4" width="8.81640625" style="8"/>
    <col min="5" max="5" width="11.81640625" style="8" customWidth="1"/>
    <col min="6" max="6" width="14" style="8" customWidth="1"/>
    <col min="7" max="9" width="8.81640625" style="8"/>
    <col min="10" max="10" width="11.453125" style="8" customWidth="1"/>
  </cols>
  <sheetData>
    <row r="1" spans="1:10" ht="15.5">
      <c r="A1" s="221" t="s">
        <v>484</v>
      </c>
      <c r="B1" s="221"/>
      <c r="C1" s="221"/>
      <c r="D1" s="221"/>
      <c r="E1" s="221"/>
      <c r="F1" s="221"/>
      <c r="G1" s="221"/>
      <c r="H1" s="221"/>
      <c r="I1" s="221"/>
      <c r="J1" s="221"/>
    </row>
    <row r="2" spans="1:10" ht="31">
      <c r="A2" s="1" t="s">
        <v>0</v>
      </c>
      <c r="B2" s="2" t="s">
        <v>1</v>
      </c>
      <c r="C2" s="1" t="s">
        <v>2</v>
      </c>
      <c r="D2" s="1" t="s">
        <v>3</v>
      </c>
      <c r="E2" s="1" t="s">
        <v>4</v>
      </c>
      <c r="F2" s="1" t="s">
        <v>5</v>
      </c>
      <c r="G2" s="3" t="s">
        <v>6</v>
      </c>
      <c r="H2" s="3" t="s">
        <v>7</v>
      </c>
      <c r="I2" s="3" t="s">
        <v>8</v>
      </c>
      <c r="J2" s="4" t="s">
        <v>9</v>
      </c>
    </row>
    <row r="3" spans="1:10">
      <c r="A3" s="9">
        <v>1</v>
      </c>
      <c r="B3" s="14" t="s">
        <v>10</v>
      </c>
      <c r="C3" s="14">
        <v>2</v>
      </c>
      <c r="D3" s="5">
        <v>102.715</v>
      </c>
      <c r="E3" s="5">
        <v>99.9</v>
      </c>
      <c r="F3" s="5">
        <f>D3-E3</f>
        <v>2.8149999999999977</v>
      </c>
      <c r="G3" s="15">
        <v>3.4</v>
      </c>
      <c r="H3" s="15">
        <v>3</v>
      </c>
      <c r="I3" s="5">
        <v>1.5</v>
      </c>
      <c r="J3" s="6">
        <f t="shared" ref="J3:J9" si="0">I3*H3*G3*C3</f>
        <v>30.599999999999998</v>
      </c>
    </row>
    <row r="4" spans="1:10">
      <c r="A4" s="9">
        <v>2</v>
      </c>
      <c r="B4" s="14" t="s">
        <v>11</v>
      </c>
      <c r="C4" s="14">
        <v>3</v>
      </c>
      <c r="D4" s="5">
        <v>102.715</v>
      </c>
      <c r="E4" s="5">
        <v>99.9</v>
      </c>
      <c r="F4" s="5">
        <f t="shared" ref="F4:F9" si="1">D4-E4</f>
        <v>2.8149999999999977</v>
      </c>
      <c r="G4" s="15">
        <v>4.2</v>
      </c>
      <c r="H4" s="15">
        <v>3.4</v>
      </c>
      <c r="I4" s="5">
        <v>1.5</v>
      </c>
      <c r="J4" s="6">
        <f t="shared" si="0"/>
        <v>64.259999999999991</v>
      </c>
    </row>
    <row r="5" spans="1:10">
      <c r="A5" s="9">
        <v>3</v>
      </c>
      <c r="B5" s="14" t="s">
        <v>12</v>
      </c>
      <c r="C5" s="14">
        <v>1</v>
      </c>
      <c r="D5" s="5">
        <v>102.715</v>
      </c>
      <c r="E5" s="5">
        <v>99.9</v>
      </c>
      <c r="F5" s="5">
        <f t="shared" si="1"/>
        <v>2.8149999999999977</v>
      </c>
      <c r="G5" s="15">
        <v>1.4</v>
      </c>
      <c r="H5" s="15">
        <v>1.4</v>
      </c>
      <c r="I5" s="5">
        <v>1.5</v>
      </c>
      <c r="J5" s="6">
        <f t="shared" si="0"/>
        <v>2.9399999999999995</v>
      </c>
    </row>
    <row r="6" spans="1:10">
      <c r="A6" s="9">
        <v>4</v>
      </c>
      <c r="B6" s="14" t="s">
        <v>13</v>
      </c>
      <c r="C6" s="14">
        <v>3</v>
      </c>
      <c r="D6" s="5">
        <v>102.715</v>
      </c>
      <c r="E6" s="5">
        <v>99.9</v>
      </c>
      <c r="F6" s="5">
        <f t="shared" si="1"/>
        <v>2.8149999999999977</v>
      </c>
      <c r="G6" s="15">
        <v>2.1</v>
      </c>
      <c r="H6" s="15">
        <v>2.1</v>
      </c>
      <c r="I6" s="5">
        <v>1.5</v>
      </c>
      <c r="J6" s="6">
        <f t="shared" si="0"/>
        <v>19.845000000000002</v>
      </c>
    </row>
    <row r="7" spans="1:10">
      <c r="A7" s="9">
        <v>5</v>
      </c>
      <c r="B7" s="14" t="s">
        <v>14</v>
      </c>
      <c r="C7" s="14">
        <v>2</v>
      </c>
      <c r="D7" s="5">
        <v>102.715</v>
      </c>
      <c r="E7" s="5">
        <v>99.9</v>
      </c>
      <c r="F7" s="5">
        <f t="shared" si="1"/>
        <v>2.8149999999999977</v>
      </c>
      <c r="G7" s="15">
        <v>6.1</v>
      </c>
      <c r="H7" s="15">
        <v>2.5750000000000002</v>
      </c>
      <c r="I7" s="5">
        <v>1.5</v>
      </c>
      <c r="J7" s="6">
        <f t="shared" si="0"/>
        <v>47.122500000000002</v>
      </c>
    </row>
    <row r="8" spans="1:10">
      <c r="A8" s="9">
        <v>6</v>
      </c>
      <c r="B8" s="14" t="s">
        <v>15</v>
      </c>
      <c r="C8" s="14">
        <v>1</v>
      </c>
      <c r="D8" s="5">
        <v>102.715</v>
      </c>
      <c r="E8" s="5">
        <v>99.9</v>
      </c>
      <c r="F8" s="5">
        <f t="shared" si="1"/>
        <v>2.8149999999999977</v>
      </c>
      <c r="G8" s="15">
        <v>3.4</v>
      </c>
      <c r="H8" s="15">
        <v>2.2629999999999999</v>
      </c>
      <c r="I8" s="5">
        <v>1.5</v>
      </c>
      <c r="J8" s="6">
        <f t="shared" si="0"/>
        <v>11.5413</v>
      </c>
    </row>
    <row r="9" spans="1:10">
      <c r="A9" s="9">
        <v>7</v>
      </c>
      <c r="B9" s="14" t="s">
        <v>18</v>
      </c>
      <c r="C9" s="14">
        <v>1</v>
      </c>
      <c r="D9" s="5">
        <v>102.715</v>
      </c>
      <c r="E9" s="5">
        <v>99.9</v>
      </c>
      <c r="F9" s="5">
        <f t="shared" si="1"/>
        <v>2.8149999999999977</v>
      </c>
      <c r="G9" s="15">
        <v>27.2</v>
      </c>
      <c r="H9" s="15">
        <v>4.3</v>
      </c>
      <c r="I9" s="5">
        <v>1.5</v>
      </c>
      <c r="J9" s="6">
        <f t="shared" si="0"/>
        <v>175.43999999999997</v>
      </c>
    </row>
    <row r="10" spans="1:10">
      <c r="A10" s="9"/>
      <c r="B10" s="5"/>
      <c r="C10" s="5"/>
      <c r="D10" s="5"/>
      <c r="E10" s="5"/>
      <c r="F10" s="5"/>
      <c r="G10" s="5"/>
      <c r="H10" s="220" t="s">
        <v>16</v>
      </c>
      <c r="I10" s="220"/>
      <c r="J10" s="12">
        <f>SUM(J3:J9)</f>
        <v>351.74879999999996</v>
      </c>
    </row>
    <row r="11" spans="1:10" ht="15.5">
      <c r="A11" s="222" t="s">
        <v>485</v>
      </c>
      <c r="B11" s="222"/>
      <c r="C11" s="222"/>
      <c r="D11" s="222"/>
      <c r="E11" s="222"/>
      <c r="F11" s="222"/>
      <c r="G11" s="222"/>
      <c r="H11" s="222"/>
      <c r="I11" s="222"/>
      <c r="J11" s="222"/>
    </row>
    <row r="12" spans="1:10" ht="31">
      <c r="A12" s="1" t="s">
        <v>0</v>
      </c>
      <c r="B12" s="1" t="s">
        <v>17</v>
      </c>
      <c r="C12" s="1" t="s">
        <v>2</v>
      </c>
      <c r="D12" s="1" t="s">
        <v>3</v>
      </c>
      <c r="E12" s="1" t="s">
        <v>4</v>
      </c>
      <c r="F12" s="1" t="s">
        <v>5</v>
      </c>
      <c r="G12" s="3" t="s">
        <v>6</v>
      </c>
      <c r="H12" s="3" t="s">
        <v>7</v>
      </c>
      <c r="I12" s="3" t="s">
        <v>8</v>
      </c>
      <c r="J12" s="4" t="s">
        <v>9</v>
      </c>
    </row>
    <row r="13" spans="1:10">
      <c r="A13" s="9">
        <v>1</v>
      </c>
      <c r="B13" s="14" t="s">
        <v>10</v>
      </c>
      <c r="C13" s="14">
        <v>2</v>
      </c>
      <c r="D13" s="5">
        <v>102.715</v>
      </c>
      <c r="E13" s="5">
        <v>99.9</v>
      </c>
      <c r="F13" s="5">
        <f>D13-E13</f>
        <v>2.8149999999999977</v>
      </c>
      <c r="G13" s="15">
        <v>3.4</v>
      </c>
      <c r="H13" s="15">
        <v>3</v>
      </c>
      <c r="I13" s="5">
        <f>F13-1.5</f>
        <v>1.3149999999999977</v>
      </c>
      <c r="J13" s="6">
        <f t="shared" ref="J13:J19" si="2">I13*H13*G13*C13</f>
        <v>26.825999999999954</v>
      </c>
    </row>
    <row r="14" spans="1:10">
      <c r="A14" s="9">
        <v>2</v>
      </c>
      <c r="B14" s="14" t="s">
        <v>11</v>
      </c>
      <c r="C14" s="14">
        <v>3</v>
      </c>
      <c r="D14" s="5">
        <v>102.715</v>
      </c>
      <c r="E14" s="5">
        <v>99.9</v>
      </c>
      <c r="F14" s="5">
        <f t="shared" ref="F14:F19" si="3">D14-E14</f>
        <v>2.8149999999999977</v>
      </c>
      <c r="G14" s="15">
        <v>4.2</v>
      </c>
      <c r="H14" s="15">
        <v>3.4</v>
      </c>
      <c r="I14" s="5">
        <f t="shared" ref="I14:I19" si="4">F14-1.5</f>
        <v>1.3149999999999977</v>
      </c>
      <c r="J14" s="6">
        <f t="shared" si="2"/>
        <v>56.334599999999895</v>
      </c>
    </row>
    <row r="15" spans="1:10">
      <c r="A15" s="9">
        <v>3</v>
      </c>
      <c r="B15" s="14" t="s">
        <v>12</v>
      </c>
      <c r="C15" s="14">
        <v>1</v>
      </c>
      <c r="D15" s="5">
        <v>102.715</v>
      </c>
      <c r="E15" s="5">
        <v>99.9</v>
      </c>
      <c r="F15" s="5">
        <f t="shared" si="3"/>
        <v>2.8149999999999977</v>
      </c>
      <c r="G15" s="15">
        <v>1.4</v>
      </c>
      <c r="H15" s="15">
        <v>1.4</v>
      </c>
      <c r="I15" s="5">
        <f t="shared" si="4"/>
        <v>1.3149999999999977</v>
      </c>
      <c r="J15" s="6">
        <f t="shared" si="2"/>
        <v>2.577399999999995</v>
      </c>
    </row>
    <row r="16" spans="1:10">
      <c r="A16" s="9">
        <v>4</v>
      </c>
      <c r="B16" s="14" t="s">
        <v>13</v>
      </c>
      <c r="C16" s="14">
        <v>3</v>
      </c>
      <c r="D16" s="5">
        <v>102.715</v>
      </c>
      <c r="E16" s="5">
        <v>99.9</v>
      </c>
      <c r="F16" s="5">
        <f t="shared" si="3"/>
        <v>2.8149999999999977</v>
      </c>
      <c r="G16" s="15">
        <v>2.1</v>
      </c>
      <c r="H16" s="15">
        <v>2.1</v>
      </c>
      <c r="I16" s="5">
        <f t="shared" si="4"/>
        <v>1.3149999999999977</v>
      </c>
      <c r="J16" s="6">
        <f t="shared" si="2"/>
        <v>17.397449999999971</v>
      </c>
    </row>
    <row r="17" spans="1:10">
      <c r="A17" s="9">
        <v>5</v>
      </c>
      <c r="B17" s="14" t="s">
        <v>14</v>
      </c>
      <c r="C17" s="14">
        <v>2</v>
      </c>
      <c r="D17" s="5">
        <v>102.715</v>
      </c>
      <c r="E17" s="5">
        <v>99.9</v>
      </c>
      <c r="F17" s="5">
        <f t="shared" si="3"/>
        <v>2.8149999999999977</v>
      </c>
      <c r="G17" s="15">
        <v>6.1</v>
      </c>
      <c r="H17" s="15">
        <v>2.5750000000000002</v>
      </c>
      <c r="I17" s="5">
        <f t="shared" si="4"/>
        <v>1.3149999999999977</v>
      </c>
      <c r="J17" s="6">
        <f t="shared" si="2"/>
        <v>41.310724999999934</v>
      </c>
    </row>
    <row r="18" spans="1:10">
      <c r="A18" s="9">
        <v>6</v>
      </c>
      <c r="B18" s="14" t="s">
        <v>15</v>
      </c>
      <c r="C18" s="14">
        <v>1</v>
      </c>
      <c r="D18" s="5">
        <v>102.715</v>
      </c>
      <c r="E18" s="5">
        <v>99.9</v>
      </c>
      <c r="F18" s="5">
        <f t="shared" si="3"/>
        <v>2.8149999999999977</v>
      </c>
      <c r="G18" s="15">
        <v>3.4</v>
      </c>
      <c r="H18" s="15">
        <v>2.2629999999999999</v>
      </c>
      <c r="I18" s="5">
        <f t="shared" si="4"/>
        <v>1.3149999999999977</v>
      </c>
      <c r="J18" s="6">
        <f t="shared" si="2"/>
        <v>10.117872999999982</v>
      </c>
    </row>
    <row r="19" spans="1:10">
      <c r="A19" s="9">
        <v>7</v>
      </c>
      <c r="B19" s="14" t="s">
        <v>18</v>
      </c>
      <c r="C19" s="14">
        <v>1</v>
      </c>
      <c r="D19" s="5">
        <v>102.715</v>
      </c>
      <c r="E19" s="5">
        <v>99.9</v>
      </c>
      <c r="F19" s="5">
        <f t="shared" si="3"/>
        <v>2.8149999999999977</v>
      </c>
      <c r="G19" s="15">
        <v>27.2</v>
      </c>
      <c r="H19" s="15">
        <v>4.3</v>
      </c>
      <c r="I19" s="5">
        <f t="shared" si="4"/>
        <v>1.3149999999999977</v>
      </c>
      <c r="J19" s="6">
        <f t="shared" si="2"/>
        <v>153.80239999999972</v>
      </c>
    </row>
    <row r="20" spans="1:10">
      <c r="A20" s="5"/>
      <c r="B20" s="5"/>
      <c r="C20" s="5"/>
      <c r="D20" s="5"/>
      <c r="E20" s="5"/>
      <c r="F20" s="5"/>
      <c r="G20" s="5"/>
      <c r="H20" s="220" t="s">
        <v>16</v>
      </c>
      <c r="I20" s="220"/>
      <c r="J20" s="12">
        <f>SUM(J13:J19)</f>
        <v>308.36644799999942</v>
      </c>
    </row>
  </sheetData>
  <mergeCells count="4">
    <mergeCell ref="H20:I20"/>
    <mergeCell ref="A1:J1"/>
    <mergeCell ref="H10:I10"/>
    <mergeCell ref="A11:J11"/>
  </mergeCells>
  <pageMargins left="0.7" right="0.7" top="0.75" bottom="0.75" header="0.3" footer="0.3"/>
  <pageSetup scale="76"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13CE0-8FDB-45B2-8401-6DDBFE1800D2}">
  <dimension ref="A1:O87"/>
  <sheetViews>
    <sheetView topLeftCell="A13" zoomScale="85" zoomScaleNormal="85" workbookViewId="0">
      <selection activeCell="D34" sqref="D34"/>
    </sheetView>
  </sheetViews>
  <sheetFormatPr defaultRowHeight="14.5"/>
  <cols>
    <col min="2" max="2" width="27" customWidth="1"/>
    <col min="9" max="15" width="0" hidden="1" customWidth="1"/>
  </cols>
  <sheetData>
    <row r="1" spans="1:7" ht="15.5">
      <c r="A1" s="221" t="s">
        <v>19</v>
      </c>
      <c r="B1" s="221"/>
      <c r="C1" s="221"/>
      <c r="D1" s="221"/>
      <c r="E1" s="221"/>
      <c r="F1" s="221"/>
      <c r="G1" s="221"/>
    </row>
    <row r="2" spans="1:7" ht="31">
      <c r="A2" s="16" t="s">
        <v>0</v>
      </c>
      <c r="B2" s="2" t="s">
        <v>1</v>
      </c>
      <c r="C2" s="16" t="s">
        <v>2</v>
      </c>
      <c r="D2" s="17" t="s">
        <v>6</v>
      </c>
      <c r="E2" s="17" t="s">
        <v>7</v>
      </c>
      <c r="F2" s="17" t="s">
        <v>8</v>
      </c>
      <c r="G2" s="16" t="s">
        <v>9</v>
      </c>
    </row>
    <row r="3" spans="1:7">
      <c r="A3" s="9">
        <v>1</v>
      </c>
      <c r="B3" s="14" t="s">
        <v>10</v>
      </c>
      <c r="C3" s="14">
        <v>2</v>
      </c>
      <c r="D3" s="15">
        <v>3.4</v>
      </c>
      <c r="E3" s="15">
        <v>3</v>
      </c>
      <c r="F3" s="18">
        <v>0.1</v>
      </c>
      <c r="G3" s="18">
        <f>F3*E3*D3*C3</f>
        <v>2.04</v>
      </c>
    </row>
    <row r="4" spans="1:7">
      <c r="A4" s="9">
        <v>2</v>
      </c>
      <c r="B4" s="14" t="s">
        <v>11</v>
      </c>
      <c r="C4" s="14">
        <v>3</v>
      </c>
      <c r="D4" s="15">
        <v>4.2</v>
      </c>
      <c r="E4" s="15">
        <v>3.4</v>
      </c>
      <c r="F4" s="18">
        <v>0.1</v>
      </c>
      <c r="G4" s="18">
        <f t="shared" ref="G4:G9" si="0">F4*E4*D4*C4</f>
        <v>4.2840000000000007</v>
      </c>
    </row>
    <row r="5" spans="1:7">
      <c r="A5" s="9">
        <v>3</v>
      </c>
      <c r="B5" s="14" t="s">
        <v>12</v>
      </c>
      <c r="C5" s="14">
        <v>1</v>
      </c>
      <c r="D5" s="15">
        <v>1.4</v>
      </c>
      <c r="E5" s="15">
        <v>1.4</v>
      </c>
      <c r="F5" s="18">
        <v>0.1</v>
      </c>
      <c r="G5" s="18">
        <f t="shared" si="0"/>
        <v>0.19599999999999998</v>
      </c>
    </row>
    <row r="6" spans="1:7">
      <c r="A6" s="9">
        <v>4</v>
      </c>
      <c r="B6" s="14" t="s">
        <v>13</v>
      </c>
      <c r="C6" s="14">
        <v>3</v>
      </c>
      <c r="D6" s="15">
        <v>2.1</v>
      </c>
      <c r="E6" s="15">
        <v>2.1</v>
      </c>
      <c r="F6" s="18">
        <v>0.1</v>
      </c>
      <c r="G6" s="18">
        <f t="shared" si="0"/>
        <v>1.3230000000000002</v>
      </c>
    </row>
    <row r="7" spans="1:7">
      <c r="A7" s="9">
        <v>5</v>
      </c>
      <c r="B7" s="14" t="s">
        <v>14</v>
      </c>
      <c r="C7" s="14">
        <v>3</v>
      </c>
      <c r="D7" s="15">
        <v>3.1</v>
      </c>
      <c r="E7" s="15">
        <v>2.75</v>
      </c>
      <c r="F7" s="18">
        <v>0.1</v>
      </c>
      <c r="G7" s="18">
        <f t="shared" si="0"/>
        <v>2.5575000000000006</v>
      </c>
    </row>
    <row r="8" spans="1:7">
      <c r="A8" s="9">
        <v>6</v>
      </c>
      <c r="B8" s="14" t="s">
        <v>15</v>
      </c>
      <c r="C8" s="14">
        <v>1</v>
      </c>
      <c r="D8" s="15">
        <v>3.4</v>
      </c>
      <c r="E8" s="15">
        <v>2.2629999999999999</v>
      </c>
      <c r="F8" s="18">
        <v>0.1</v>
      </c>
      <c r="G8" s="18">
        <f t="shared" si="0"/>
        <v>0.76941999999999999</v>
      </c>
    </row>
    <row r="9" spans="1:7">
      <c r="A9" s="13">
        <v>7</v>
      </c>
      <c r="B9" s="14" t="s">
        <v>18</v>
      </c>
      <c r="C9" s="14">
        <v>1</v>
      </c>
      <c r="D9" s="15">
        <v>27.2</v>
      </c>
      <c r="E9" s="15">
        <v>4.3</v>
      </c>
      <c r="F9" s="19">
        <v>0.1</v>
      </c>
      <c r="G9" s="19">
        <f t="shared" si="0"/>
        <v>11.696</v>
      </c>
    </row>
    <row r="10" spans="1:7">
      <c r="A10" s="5">
        <v>1</v>
      </c>
      <c r="B10" s="14" t="s">
        <v>405</v>
      </c>
      <c r="C10" s="14">
        <v>1</v>
      </c>
      <c r="D10" s="20">
        <v>5.2</v>
      </c>
      <c r="E10" s="20">
        <v>0.45</v>
      </c>
      <c r="F10" s="20">
        <v>0.1</v>
      </c>
      <c r="G10" s="20">
        <f>F10*E10*D10*C10</f>
        <v>0.23400000000000004</v>
      </c>
    </row>
    <row r="11" spans="1:7">
      <c r="A11" s="5">
        <f>A10+1</f>
        <v>2</v>
      </c>
      <c r="B11" s="14" t="s">
        <v>405</v>
      </c>
      <c r="C11" s="14">
        <v>1</v>
      </c>
      <c r="D11" s="20">
        <v>5.65</v>
      </c>
      <c r="E11" s="20">
        <v>0.45</v>
      </c>
      <c r="F11" s="20">
        <v>0.1</v>
      </c>
      <c r="G11" s="20">
        <f>F11*E11*D11*C11</f>
        <v>0.25425000000000003</v>
      </c>
    </row>
    <row r="12" spans="1:7">
      <c r="A12" s="5">
        <f t="shared" ref="A12:A28" si="1">A11+1</f>
        <v>3</v>
      </c>
      <c r="B12" s="14" t="s">
        <v>405</v>
      </c>
      <c r="C12" s="14">
        <v>1</v>
      </c>
      <c r="D12" s="20">
        <v>5.4</v>
      </c>
      <c r="E12" s="20">
        <v>0.45</v>
      </c>
      <c r="F12" s="20">
        <v>0.1</v>
      </c>
      <c r="G12" s="20">
        <f t="shared" ref="G12:G28" si="2">F12*E12*D12*C12</f>
        <v>0.24300000000000005</v>
      </c>
    </row>
    <row r="13" spans="1:7">
      <c r="A13" s="5">
        <f t="shared" si="1"/>
        <v>4</v>
      </c>
      <c r="B13" s="14" t="s">
        <v>405</v>
      </c>
      <c r="C13" s="14">
        <v>1</v>
      </c>
      <c r="D13" s="20">
        <v>5.45</v>
      </c>
      <c r="E13" s="20">
        <v>0.45</v>
      </c>
      <c r="F13" s="20">
        <v>0.1</v>
      </c>
      <c r="G13" s="20">
        <f t="shared" si="2"/>
        <v>0.24525000000000002</v>
      </c>
    </row>
    <row r="14" spans="1:7">
      <c r="A14" s="5">
        <f t="shared" si="1"/>
        <v>5</v>
      </c>
      <c r="B14" s="14" t="s">
        <v>406</v>
      </c>
      <c r="C14" s="14">
        <v>1</v>
      </c>
      <c r="D14" s="20">
        <v>5.2</v>
      </c>
      <c r="E14" s="20">
        <v>0.45</v>
      </c>
      <c r="F14" s="20">
        <v>0.1</v>
      </c>
      <c r="G14" s="20">
        <f t="shared" si="2"/>
        <v>0.23400000000000004</v>
      </c>
    </row>
    <row r="15" spans="1:7">
      <c r="A15" s="5">
        <f t="shared" si="1"/>
        <v>6</v>
      </c>
      <c r="B15" s="14" t="s">
        <v>406</v>
      </c>
      <c r="C15" s="14">
        <v>1</v>
      </c>
      <c r="D15" s="20">
        <v>5.65</v>
      </c>
      <c r="E15" s="20">
        <v>0.45</v>
      </c>
      <c r="F15" s="20">
        <v>0.1</v>
      </c>
      <c r="G15" s="20">
        <f t="shared" si="2"/>
        <v>0.25425000000000003</v>
      </c>
    </row>
    <row r="16" spans="1:7">
      <c r="A16" s="5">
        <f t="shared" si="1"/>
        <v>7</v>
      </c>
      <c r="B16" s="14" t="s">
        <v>406</v>
      </c>
      <c r="C16" s="14">
        <v>1</v>
      </c>
      <c r="D16" s="20">
        <v>5.4</v>
      </c>
      <c r="E16" s="20">
        <v>0.45</v>
      </c>
      <c r="F16" s="20">
        <v>0.1</v>
      </c>
      <c r="G16" s="20">
        <f t="shared" si="2"/>
        <v>0.24300000000000005</v>
      </c>
    </row>
    <row r="17" spans="1:7">
      <c r="A17" s="5">
        <f t="shared" si="1"/>
        <v>8</v>
      </c>
      <c r="B17" s="14" t="s">
        <v>406</v>
      </c>
      <c r="C17" s="14">
        <v>1</v>
      </c>
      <c r="D17" s="20">
        <v>5.45</v>
      </c>
      <c r="E17" s="20">
        <v>0.45</v>
      </c>
      <c r="F17" s="20">
        <v>0.1</v>
      </c>
      <c r="G17" s="20">
        <f t="shared" si="2"/>
        <v>0.24525000000000002</v>
      </c>
    </row>
    <row r="18" spans="1:7">
      <c r="A18" s="5">
        <f t="shared" si="1"/>
        <v>9</v>
      </c>
      <c r="B18" s="14" t="s">
        <v>408</v>
      </c>
      <c r="C18" s="14">
        <v>2</v>
      </c>
      <c r="D18" s="18">
        <v>3.4249999999999998</v>
      </c>
      <c r="E18" s="20">
        <v>0.45</v>
      </c>
      <c r="F18" s="20">
        <v>0.1</v>
      </c>
      <c r="G18" s="20">
        <f t="shared" si="2"/>
        <v>0.30825000000000002</v>
      </c>
    </row>
    <row r="19" spans="1:7">
      <c r="A19" s="5">
        <f t="shared" si="1"/>
        <v>10</v>
      </c>
      <c r="B19" s="14" t="s">
        <v>408</v>
      </c>
      <c r="C19" s="14">
        <v>2</v>
      </c>
      <c r="D19" s="18">
        <v>2.9</v>
      </c>
      <c r="E19" s="20">
        <v>0.45</v>
      </c>
      <c r="F19" s="20">
        <v>0.1</v>
      </c>
      <c r="G19" s="20">
        <f t="shared" si="2"/>
        <v>0.26100000000000001</v>
      </c>
    </row>
    <row r="20" spans="1:7">
      <c r="A20" s="5">
        <f t="shared" si="1"/>
        <v>11</v>
      </c>
      <c r="B20" s="14" t="s">
        <v>408</v>
      </c>
      <c r="C20" s="14">
        <v>2</v>
      </c>
      <c r="D20" s="20">
        <v>5.375</v>
      </c>
      <c r="E20" s="20">
        <v>0.45</v>
      </c>
      <c r="F20" s="20">
        <v>0.1</v>
      </c>
      <c r="G20" s="20">
        <f t="shared" si="2"/>
        <v>0.48375000000000007</v>
      </c>
    </row>
    <row r="21" spans="1:7">
      <c r="A21" s="5">
        <f t="shared" si="1"/>
        <v>12</v>
      </c>
      <c r="B21" s="14" t="s">
        <v>408</v>
      </c>
      <c r="C21" s="14">
        <v>2</v>
      </c>
      <c r="D21" s="20">
        <v>2.2000000000000002</v>
      </c>
      <c r="E21" s="20">
        <v>0.45</v>
      </c>
      <c r="F21" s="20">
        <v>0.1</v>
      </c>
      <c r="G21" s="20">
        <f t="shared" si="2"/>
        <v>0.19800000000000004</v>
      </c>
    </row>
    <row r="22" spans="1:7">
      <c r="A22" s="5">
        <f t="shared" si="1"/>
        <v>13</v>
      </c>
      <c r="B22" s="14" t="s">
        <v>408</v>
      </c>
      <c r="C22" s="14">
        <v>2</v>
      </c>
      <c r="D22" s="24">
        <v>2.8250000000000002</v>
      </c>
      <c r="E22" s="20">
        <v>0.45</v>
      </c>
      <c r="F22" s="20">
        <v>0.1</v>
      </c>
      <c r="G22" s="24">
        <f t="shared" si="2"/>
        <v>0.25425000000000003</v>
      </c>
    </row>
    <row r="23" spans="1:7">
      <c r="A23" s="5">
        <f t="shared" si="1"/>
        <v>14</v>
      </c>
      <c r="B23" s="14" t="s">
        <v>408</v>
      </c>
      <c r="C23" s="14">
        <v>3</v>
      </c>
      <c r="D23" s="24">
        <v>4.4000000000000004</v>
      </c>
      <c r="E23" s="20">
        <v>0.45</v>
      </c>
      <c r="F23" s="20">
        <v>0.1</v>
      </c>
      <c r="G23" s="24">
        <f t="shared" si="2"/>
        <v>0.59400000000000008</v>
      </c>
    </row>
    <row r="24" spans="1:7">
      <c r="A24" s="5">
        <f t="shared" si="1"/>
        <v>15</v>
      </c>
      <c r="B24" s="14" t="s">
        <v>408</v>
      </c>
      <c r="C24" s="14">
        <v>1</v>
      </c>
      <c r="D24" s="24">
        <v>2.5</v>
      </c>
      <c r="E24" s="20">
        <v>0.45</v>
      </c>
      <c r="F24" s="20">
        <v>0.1</v>
      </c>
      <c r="G24" s="24">
        <f t="shared" si="2"/>
        <v>0.11250000000000002</v>
      </c>
    </row>
    <row r="25" spans="1:7">
      <c r="A25" s="5">
        <f t="shared" si="1"/>
        <v>16</v>
      </c>
      <c r="B25" s="14" t="s">
        <v>408</v>
      </c>
      <c r="C25" s="14">
        <v>1</v>
      </c>
      <c r="D25" s="24">
        <v>2.286</v>
      </c>
      <c r="E25" s="20">
        <v>0.45</v>
      </c>
      <c r="F25" s="20">
        <v>0.1</v>
      </c>
      <c r="G25" s="24">
        <f t="shared" si="2"/>
        <v>0.10287000000000002</v>
      </c>
    </row>
    <row r="26" spans="1:7">
      <c r="A26" s="5">
        <f t="shared" si="1"/>
        <v>17</v>
      </c>
      <c r="B26" s="14" t="s">
        <v>408</v>
      </c>
      <c r="C26" s="14">
        <v>1</v>
      </c>
      <c r="D26" s="24">
        <v>2.5750000000000002</v>
      </c>
      <c r="E26" s="20">
        <v>0.45</v>
      </c>
      <c r="F26" s="20">
        <v>0.1</v>
      </c>
      <c r="G26" s="24">
        <f t="shared" si="2"/>
        <v>0.11587500000000002</v>
      </c>
    </row>
    <row r="27" spans="1:7">
      <c r="A27" s="5">
        <f t="shared" si="1"/>
        <v>18</v>
      </c>
      <c r="B27" s="14" t="s">
        <v>409</v>
      </c>
      <c r="C27" s="14">
        <v>2</v>
      </c>
      <c r="D27" s="24">
        <v>9.1</v>
      </c>
      <c r="E27" s="20">
        <v>0.6</v>
      </c>
      <c r="F27" s="20">
        <v>0.1</v>
      </c>
      <c r="G27" s="24">
        <f t="shared" si="2"/>
        <v>1.0919999999999999</v>
      </c>
    </row>
    <row r="28" spans="1:7">
      <c r="A28" s="5">
        <f t="shared" si="1"/>
        <v>19</v>
      </c>
      <c r="B28" s="14" t="s">
        <v>411</v>
      </c>
      <c r="C28" s="14">
        <v>1</v>
      </c>
      <c r="D28" s="24">
        <v>2.375</v>
      </c>
      <c r="E28" s="20">
        <v>0.45</v>
      </c>
      <c r="F28" s="20">
        <v>0.1</v>
      </c>
      <c r="G28" s="24">
        <f t="shared" si="2"/>
        <v>0.10687500000000001</v>
      </c>
    </row>
    <row r="29" spans="1:7">
      <c r="A29" s="45"/>
      <c r="D29" s="31"/>
      <c r="E29" s="15"/>
      <c r="F29" s="19"/>
      <c r="G29" s="19"/>
    </row>
    <row r="30" spans="1:7">
      <c r="A30" s="10"/>
      <c r="B30" s="8"/>
      <c r="C30" s="10"/>
      <c r="D30" s="21"/>
      <c r="E30" s="224" t="s">
        <v>16</v>
      </c>
      <c r="F30" s="224"/>
      <c r="G30" s="12">
        <f>SUM(G3:G28)</f>
        <v>28.448289999999997</v>
      </c>
    </row>
    <row r="31" spans="1:7" ht="18.5">
      <c r="A31" s="223" t="s">
        <v>483</v>
      </c>
      <c r="B31" s="223"/>
      <c r="C31" s="223"/>
      <c r="D31" s="223"/>
      <c r="E31" s="223"/>
      <c r="F31" s="223"/>
      <c r="G31" s="223"/>
    </row>
    <row r="32" spans="1:7" ht="29">
      <c r="A32" s="16" t="s">
        <v>0</v>
      </c>
      <c r="B32" s="2" t="s">
        <v>1</v>
      </c>
      <c r="C32" s="16" t="s">
        <v>2</v>
      </c>
      <c r="D32" s="22" t="s">
        <v>6</v>
      </c>
      <c r="E32" s="22" t="s">
        <v>7</v>
      </c>
      <c r="F32" s="22" t="s">
        <v>8</v>
      </c>
      <c r="G32" s="23" t="s">
        <v>9</v>
      </c>
    </row>
    <row r="33" spans="1:15" ht="15.5">
      <c r="A33" s="16"/>
      <c r="B33" s="2" t="s">
        <v>414</v>
      </c>
      <c r="C33" s="16"/>
      <c r="D33" s="22"/>
      <c r="E33" s="22"/>
      <c r="F33" s="22"/>
      <c r="G33" s="23"/>
    </row>
    <row r="34" spans="1:15">
      <c r="A34" s="5">
        <v>1</v>
      </c>
      <c r="B34" s="14" t="s">
        <v>10</v>
      </c>
      <c r="C34" s="14">
        <v>2</v>
      </c>
      <c r="D34" s="20">
        <v>2.8</v>
      </c>
      <c r="E34" s="20">
        <v>3.2</v>
      </c>
      <c r="F34" s="20">
        <v>0.6</v>
      </c>
      <c r="G34" s="20">
        <f>F34*E34*D34*C34</f>
        <v>10.751999999999999</v>
      </c>
    </row>
    <row r="35" spans="1:15">
      <c r="A35" s="5">
        <f>A34+1</f>
        <v>2</v>
      </c>
      <c r="B35" s="14" t="s">
        <v>11</v>
      </c>
      <c r="C35" s="14">
        <v>3</v>
      </c>
      <c r="D35" s="20">
        <v>3.2</v>
      </c>
      <c r="E35" s="20">
        <v>4</v>
      </c>
      <c r="F35" s="20">
        <v>0.75</v>
      </c>
      <c r="G35" s="20">
        <f t="shared" ref="G35:G40" si="3">F35*E35*D35*C35</f>
        <v>28.800000000000004</v>
      </c>
    </row>
    <row r="36" spans="1:15">
      <c r="A36" s="5">
        <f t="shared" ref="A36:A83" si="4">A35+1</f>
        <v>3</v>
      </c>
      <c r="B36" s="14" t="s">
        <v>12</v>
      </c>
      <c r="C36" s="14">
        <v>1</v>
      </c>
      <c r="D36" s="20">
        <v>1.2</v>
      </c>
      <c r="E36" s="20">
        <v>1.2</v>
      </c>
      <c r="F36" s="20">
        <v>0.45</v>
      </c>
      <c r="G36" s="20">
        <f t="shared" si="3"/>
        <v>0.64800000000000002</v>
      </c>
    </row>
    <row r="37" spans="1:15">
      <c r="A37" s="5">
        <f t="shared" si="4"/>
        <v>4</v>
      </c>
      <c r="B37" s="14" t="s">
        <v>13</v>
      </c>
      <c r="C37" s="14">
        <v>3</v>
      </c>
      <c r="D37" s="20">
        <v>1.9</v>
      </c>
      <c r="E37" s="20">
        <v>1.9</v>
      </c>
      <c r="F37" s="20">
        <v>0.45</v>
      </c>
      <c r="G37" s="20">
        <f t="shared" si="3"/>
        <v>4.8734999999999999</v>
      </c>
    </row>
    <row r="38" spans="1:15">
      <c r="A38" s="5">
        <f t="shared" si="4"/>
        <v>5</v>
      </c>
      <c r="B38" s="14" t="s">
        <v>14</v>
      </c>
      <c r="C38" s="14">
        <v>3</v>
      </c>
      <c r="D38" s="18">
        <v>2.9</v>
      </c>
      <c r="E38" s="18">
        <v>2.5499999999999998</v>
      </c>
      <c r="F38" s="20">
        <v>0.6</v>
      </c>
      <c r="G38" s="20">
        <f t="shared" si="3"/>
        <v>13.310999999999998</v>
      </c>
    </row>
    <row r="39" spans="1:15">
      <c r="A39" s="5">
        <f t="shared" si="4"/>
        <v>6</v>
      </c>
      <c r="B39" s="14" t="s">
        <v>15</v>
      </c>
      <c r="C39" s="14">
        <v>1</v>
      </c>
      <c r="D39" s="20">
        <v>2</v>
      </c>
      <c r="E39" s="20">
        <v>3.2</v>
      </c>
      <c r="F39" s="20">
        <v>0.45</v>
      </c>
      <c r="G39" s="20">
        <f t="shared" si="3"/>
        <v>2.8800000000000003</v>
      </c>
    </row>
    <row r="40" spans="1:15">
      <c r="A40" s="5">
        <f t="shared" si="4"/>
        <v>7</v>
      </c>
      <c r="B40" s="14" t="s">
        <v>18</v>
      </c>
      <c r="C40" s="14">
        <v>1</v>
      </c>
      <c r="D40" s="24">
        <v>4.0999999999999996</v>
      </c>
      <c r="E40" s="24">
        <v>27</v>
      </c>
      <c r="F40" s="24">
        <v>0.6</v>
      </c>
      <c r="G40" s="24">
        <f t="shared" si="3"/>
        <v>66.419999999999987</v>
      </c>
    </row>
    <row r="41" spans="1:15" ht="15.5">
      <c r="A41" s="5"/>
      <c r="B41" s="2" t="s">
        <v>413</v>
      </c>
      <c r="C41" s="14"/>
      <c r="D41" s="24"/>
      <c r="E41" s="24"/>
      <c r="F41" s="24"/>
      <c r="G41" s="24"/>
    </row>
    <row r="42" spans="1:15">
      <c r="A42" s="5">
        <f>A40+1</f>
        <v>8</v>
      </c>
      <c r="B42" s="14" t="s">
        <v>35</v>
      </c>
      <c r="C42" s="14">
        <v>2</v>
      </c>
      <c r="D42" s="20">
        <v>0.9</v>
      </c>
      <c r="E42" s="20">
        <v>0.5</v>
      </c>
      <c r="F42" s="20">
        <f>1.93</f>
        <v>1.93</v>
      </c>
      <c r="G42" s="20">
        <f>F42*E42*D42*C42</f>
        <v>1.7369999999999999</v>
      </c>
      <c r="I42" s="5">
        <f>I40+1</f>
        <v>1</v>
      </c>
      <c r="J42" s="14" t="s">
        <v>35</v>
      </c>
      <c r="K42" s="14">
        <v>2</v>
      </c>
      <c r="L42" s="20">
        <v>0.9</v>
      </c>
      <c r="M42" s="20">
        <v>0.5</v>
      </c>
      <c r="N42" s="20">
        <v>0.75</v>
      </c>
      <c r="O42" s="20">
        <f>N42*M42*L42*K42</f>
        <v>0.67500000000000004</v>
      </c>
    </row>
    <row r="43" spans="1:15">
      <c r="A43" s="5">
        <f t="shared" si="4"/>
        <v>9</v>
      </c>
      <c r="B43" s="14" t="s">
        <v>35</v>
      </c>
      <c r="C43" s="14">
        <v>2</v>
      </c>
      <c r="D43" s="20">
        <v>0.9</v>
      </c>
      <c r="E43" s="20">
        <v>0.5</v>
      </c>
      <c r="F43" s="20">
        <f>1.93</f>
        <v>1.93</v>
      </c>
      <c r="G43" s="20">
        <f>F43*E43*D43*C43</f>
        <v>1.7369999999999999</v>
      </c>
      <c r="I43" s="5">
        <f t="shared" ref="I43:I61" si="5">I42+1</f>
        <v>2</v>
      </c>
      <c r="J43" s="14" t="s">
        <v>35</v>
      </c>
      <c r="K43" s="14">
        <v>2</v>
      </c>
      <c r="L43" s="20">
        <v>0.9</v>
      </c>
      <c r="M43" s="20">
        <v>0.5</v>
      </c>
      <c r="N43" s="20">
        <v>0.75</v>
      </c>
      <c r="O43" s="20">
        <f>N43*M43*L43*K43</f>
        <v>0.67500000000000004</v>
      </c>
    </row>
    <row r="44" spans="1:15">
      <c r="A44" s="5">
        <f t="shared" si="4"/>
        <v>10</v>
      </c>
      <c r="B44" s="14" t="s">
        <v>36</v>
      </c>
      <c r="C44" s="14">
        <v>1</v>
      </c>
      <c r="D44" s="20">
        <v>0.55000000000000004</v>
      </c>
      <c r="E44" s="20">
        <v>0.55000000000000004</v>
      </c>
      <c r="F44" s="20">
        <f>1.93</f>
        <v>1.93</v>
      </c>
      <c r="G44" s="20">
        <f t="shared" ref="G44:G54" si="6">F44*E44*D44*C44</f>
        <v>0.58382500000000015</v>
      </c>
      <c r="I44" s="5">
        <f t="shared" si="5"/>
        <v>3</v>
      </c>
      <c r="J44" s="14" t="s">
        <v>36</v>
      </c>
      <c r="K44" s="14">
        <v>1</v>
      </c>
      <c r="L44" s="20">
        <v>0.55000000000000004</v>
      </c>
      <c r="M44" s="20">
        <v>0.55000000000000004</v>
      </c>
      <c r="N44" s="20">
        <v>0.6</v>
      </c>
      <c r="O44" s="20">
        <f t="shared" ref="O44:O61" si="7">N44*M44*L44*K44</f>
        <v>0.18150000000000002</v>
      </c>
    </row>
    <row r="45" spans="1:15">
      <c r="A45" s="5">
        <f t="shared" si="4"/>
        <v>11</v>
      </c>
      <c r="B45" s="14" t="s">
        <v>36</v>
      </c>
      <c r="C45" s="14">
        <v>1</v>
      </c>
      <c r="D45" s="20">
        <v>0.55000000000000004</v>
      </c>
      <c r="E45" s="20">
        <v>0.55000000000000004</v>
      </c>
      <c r="F45" s="20">
        <f>2.08</f>
        <v>2.08</v>
      </c>
      <c r="G45" s="20">
        <f>F45*E45*D45*C45</f>
        <v>0.62920000000000009</v>
      </c>
      <c r="I45" s="5">
        <f t="shared" si="5"/>
        <v>4</v>
      </c>
      <c r="J45" s="14" t="s">
        <v>36</v>
      </c>
      <c r="K45" s="14">
        <v>1</v>
      </c>
      <c r="L45" s="20">
        <v>0.55000000000000004</v>
      </c>
      <c r="M45" s="20">
        <v>0.55000000000000004</v>
      </c>
      <c r="N45" s="20">
        <v>0.6</v>
      </c>
      <c r="O45" s="20">
        <f t="shared" si="7"/>
        <v>0.18150000000000002</v>
      </c>
    </row>
    <row r="46" spans="1:15">
      <c r="A46" s="5">
        <f t="shared" si="4"/>
        <v>12</v>
      </c>
      <c r="B46" s="14" t="s">
        <v>37</v>
      </c>
      <c r="C46" s="14">
        <v>1</v>
      </c>
      <c r="D46" s="20">
        <v>0.65</v>
      </c>
      <c r="E46" s="20">
        <v>0.65</v>
      </c>
      <c r="F46" s="20">
        <f t="shared" ref="F46:F54" si="8">1.93</f>
        <v>1.93</v>
      </c>
      <c r="G46" s="20">
        <f t="shared" si="6"/>
        <v>0.81542499999999996</v>
      </c>
      <c r="I46" s="5">
        <f t="shared" si="5"/>
        <v>5</v>
      </c>
      <c r="J46" s="14" t="s">
        <v>37</v>
      </c>
      <c r="K46" s="14">
        <v>1</v>
      </c>
      <c r="L46" s="20">
        <v>0.65</v>
      </c>
      <c r="M46" s="20">
        <v>0.65</v>
      </c>
      <c r="N46" s="20">
        <v>0.6</v>
      </c>
      <c r="O46" s="20">
        <f t="shared" si="7"/>
        <v>0.2535</v>
      </c>
    </row>
    <row r="47" spans="1:15">
      <c r="A47" s="5">
        <f t="shared" si="4"/>
        <v>13</v>
      </c>
      <c r="B47" s="14" t="s">
        <v>37</v>
      </c>
      <c r="C47" s="14">
        <v>1</v>
      </c>
      <c r="D47" s="20">
        <v>0.65</v>
      </c>
      <c r="E47" s="20">
        <v>0.65</v>
      </c>
      <c r="F47" s="20">
        <f t="shared" si="8"/>
        <v>1.93</v>
      </c>
      <c r="G47" s="20">
        <f>F47*E47*D47*C47</f>
        <v>0.81542499999999996</v>
      </c>
      <c r="I47" s="5">
        <f t="shared" si="5"/>
        <v>6</v>
      </c>
      <c r="J47" s="14" t="s">
        <v>37</v>
      </c>
      <c r="K47" s="14">
        <v>1</v>
      </c>
      <c r="L47" s="20">
        <v>0.65</v>
      </c>
      <c r="M47" s="20">
        <v>0.65</v>
      </c>
      <c r="N47" s="20">
        <v>0.6</v>
      </c>
      <c r="O47" s="20">
        <f t="shared" si="7"/>
        <v>0.2535</v>
      </c>
    </row>
    <row r="48" spans="1:15">
      <c r="A48" s="5">
        <f t="shared" si="4"/>
        <v>14</v>
      </c>
      <c r="B48" s="14" t="s">
        <v>38</v>
      </c>
      <c r="C48" s="14">
        <v>1</v>
      </c>
      <c r="D48" s="20">
        <v>0.8</v>
      </c>
      <c r="E48" s="20">
        <v>0.8</v>
      </c>
      <c r="F48" s="20">
        <f t="shared" si="8"/>
        <v>1.93</v>
      </c>
      <c r="G48" s="20">
        <f t="shared" si="6"/>
        <v>1.2352000000000001</v>
      </c>
      <c r="I48" s="5">
        <f t="shared" si="5"/>
        <v>7</v>
      </c>
      <c r="J48" s="14" t="s">
        <v>38</v>
      </c>
      <c r="K48" s="14">
        <v>1</v>
      </c>
      <c r="L48" s="20">
        <v>0.8</v>
      </c>
      <c r="M48" s="20">
        <v>0.8</v>
      </c>
      <c r="N48" s="20">
        <v>0.6</v>
      </c>
      <c r="O48" s="20">
        <f t="shared" si="7"/>
        <v>0.38400000000000001</v>
      </c>
    </row>
    <row r="49" spans="1:15">
      <c r="A49" s="5">
        <f t="shared" si="4"/>
        <v>15</v>
      </c>
      <c r="B49" s="14" t="s">
        <v>38</v>
      </c>
      <c r="C49" s="14">
        <v>1</v>
      </c>
      <c r="D49" s="20">
        <v>0.8</v>
      </c>
      <c r="E49" s="20">
        <v>0.8</v>
      </c>
      <c r="F49" s="20">
        <f t="shared" si="8"/>
        <v>1.93</v>
      </c>
      <c r="G49" s="20">
        <f>F49*E49*D49*C49</f>
        <v>1.2352000000000001</v>
      </c>
      <c r="I49" s="5">
        <f t="shared" si="5"/>
        <v>8</v>
      </c>
      <c r="J49" s="14" t="s">
        <v>38</v>
      </c>
      <c r="K49" s="14">
        <v>1</v>
      </c>
      <c r="L49" s="20">
        <v>0.8</v>
      </c>
      <c r="M49" s="20">
        <v>0.8</v>
      </c>
      <c r="N49" s="20">
        <v>0.6</v>
      </c>
      <c r="O49" s="20">
        <f t="shared" si="7"/>
        <v>0.38400000000000001</v>
      </c>
    </row>
    <row r="50" spans="1:15">
      <c r="A50" s="5">
        <f t="shared" si="4"/>
        <v>16</v>
      </c>
      <c r="B50" s="14" t="s">
        <v>39</v>
      </c>
      <c r="C50" s="14">
        <v>1</v>
      </c>
      <c r="D50" s="18">
        <v>0.8</v>
      </c>
      <c r="E50" s="20">
        <v>0.8</v>
      </c>
      <c r="F50" s="20">
        <f t="shared" si="8"/>
        <v>1.93</v>
      </c>
      <c r="G50" s="20">
        <f t="shared" si="6"/>
        <v>1.2352000000000001</v>
      </c>
      <c r="I50" s="5">
        <f t="shared" si="5"/>
        <v>9</v>
      </c>
      <c r="J50" s="14" t="s">
        <v>39</v>
      </c>
      <c r="K50" s="14">
        <v>1</v>
      </c>
      <c r="L50" s="18">
        <v>0.8</v>
      </c>
      <c r="M50" s="20">
        <v>0.8</v>
      </c>
      <c r="N50" s="20">
        <v>0.6</v>
      </c>
      <c r="O50" s="20">
        <f t="shared" si="7"/>
        <v>0.38400000000000001</v>
      </c>
    </row>
    <row r="51" spans="1:15">
      <c r="A51" s="5">
        <f t="shared" si="4"/>
        <v>17</v>
      </c>
      <c r="B51" s="14" t="s">
        <v>39</v>
      </c>
      <c r="C51" s="14">
        <v>1</v>
      </c>
      <c r="D51" s="18">
        <v>0.8</v>
      </c>
      <c r="E51" s="20">
        <v>0.8</v>
      </c>
      <c r="F51" s="20">
        <f t="shared" si="8"/>
        <v>1.93</v>
      </c>
      <c r="G51" s="20">
        <f>F51*E51*D51*C51</f>
        <v>1.2352000000000001</v>
      </c>
      <c r="I51" s="5">
        <f t="shared" si="5"/>
        <v>10</v>
      </c>
      <c r="J51" s="14" t="s">
        <v>39</v>
      </c>
      <c r="K51" s="14">
        <v>1</v>
      </c>
      <c r="L51" s="18">
        <v>0.8</v>
      </c>
      <c r="M51" s="20">
        <v>0.8</v>
      </c>
      <c r="N51" s="20">
        <v>0.6</v>
      </c>
      <c r="O51" s="20">
        <f t="shared" si="7"/>
        <v>0.38400000000000001</v>
      </c>
    </row>
    <row r="52" spans="1:15">
      <c r="A52" s="5">
        <f t="shared" si="4"/>
        <v>18</v>
      </c>
      <c r="B52" s="14" t="s">
        <v>40</v>
      </c>
      <c r="C52" s="14">
        <v>1</v>
      </c>
      <c r="D52" s="20">
        <v>0.55000000000000004</v>
      </c>
      <c r="E52" s="20">
        <v>0.55000000000000004</v>
      </c>
      <c r="F52" s="20">
        <f t="shared" si="8"/>
        <v>1.93</v>
      </c>
      <c r="G52" s="20">
        <f t="shared" si="6"/>
        <v>0.58382500000000015</v>
      </c>
      <c r="I52" s="5">
        <f t="shared" si="5"/>
        <v>11</v>
      </c>
      <c r="J52" s="14" t="s">
        <v>40</v>
      </c>
      <c r="K52" s="14">
        <v>1</v>
      </c>
      <c r="L52" s="20">
        <v>0.55000000000000004</v>
      </c>
      <c r="M52" s="20">
        <v>0.55000000000000004</v>
      </c>
      <c r="N52" s="20">
        <v>0.6</v>
      </c>
      <c r="O52" s="20">
        <f t="shared" si="7"/>
        <v>0.18150000000000002</v>
      </c>
    </row>
    <row r="53" spans="1:15">
      <c r="A53" s="5">
        <f t="shared" si="4"/>
        <v>19</v>
      </c>
      <c r="B53" s="14" t="s">
        <v>40</v>
      </c>
      <c r="C53" s="14">
        <v>1</v>
      </c>
      <c r="D53" s="20">
        <v>0.55000000000000004</v>
      </c>
      <c r="E53" s="20">
        <v>0.55000000000000004</v>
      </c>
      <c r="F53" s="20">
        <f t="shared" si="8"/>
        <v>1.93</v>
      </c>
      <c r="G53" s="20">
        <f>F53*E53*D53*C53</f>
        <v>0.58382500000000015</v>
      </c>
      <c r="I53" s="5">
        <f t="shared" si="5"/>
        <v>12</v>
      </c>
      <c r="J53" s="14" t="s">
        <v>40</v>
      </c>
      <c r="K53" s="14">
        <v>1</v>
      </c>
      <c r="L53" s="20">
        <v>0.55000000000000004</v>
      </c>
      <c r="M53" s="20">
        <v>0.55000000000000004</v>
      </c>
      <c r="N53" s="20">
        <v>0.6</v>
      </c>
      <c r="O53" s="20">
        <f t="shared" si="7"/>
        <v>0.18150000000000002</v>
      </c>
    </row>
    <row r="54" spans="1:15">
      <c r="A54" s="5">
        <f t="shared" si="4"/>
        <v>20</v>
      </c>
      <c r="B54" s="14" t="s">
        <v>41</v>
      </c>
      <c r="C54" s="14">
        <v>3</v>
      </c>
      <c r="D54" s="24">
        <v>1</v>
      </c>
      <c r="E54" s="24">
        <v>0.6</v>
      </c>
      <c r="F54" s="20">
        <f t="shared" si="8"/>
        <v>1.93</v>
      </c>
      <c r="G54" s="24">
        <f t="shared" si="6"/>
        <v>3.4739999999999998</v>
      </c>
      <c r="I54" s="5">
        <f t="shared" si="5"/>
        <v>13</v>
      </c>
      <c r="J54" s="14" t="s">
        <v>41</v>
      </c>
      <c r="K54" s="14">
        <v>3</v>
      </c>
      <c r="L54" s="24">
        <v>1</v>
      </c>
      <c r="M54" s="24">
        <v>0.6</v>
      </c>
      <c r="N54" s="20">
        <v>0.6</v>
      </c>
      <c r="O54" s="24">
        <f t="shared" si="7"/>
        <v>1.08</v>
      </c>
    </row>
    <row r="55" spans="1:15">
      <c r="A55" s="5">
        <f t="shared" si="4"/>
        <v>21</v>
      </c>
      <c r="B55" s="14" t="s">
        <v>41</v>
      </c>
      <c r="C55" s="14">
        <v>2</v>
      </c>
      <c r="D55" s="24">
        <v>1</v>
      </c>
      <c r="E55" s="24">
        <v>0.6</v>
      </c>
      <c r="F55" s="20">
        <f>1.78</f>
        <v>1.78</v>
      </c>
      <c r="G55" s="24">
        <f t="shared" ref="G55:G61" si="9">F55*E55*D55*C55</f>
        <v>2.1360000000000001</v>
      </c>
      <c r="I55" s="5">
        <f t="shared" si="5"/>
        <v>14</v>
      </c>
      <c r="J55" s="14" t="s">
        <v>41</v>
      </c>
      <c r="K55" s="14">
        <v>2</v>
      </c>
      <c r="L55" s="24">
        <v>1</v>
      </c>
      <c r="M55" s="24">
        <v>0.6</v>
      </c>
      <c r="N55" s="20">
        <v>0.6</v>
      </c>
      <c r="O55" s="24">
        <f t="shared" si="7"/>
        <v>0.72</v>
      </c>
    </row>
    <row r="56" spans="1:15">
      <c r="A56" s="5">
        <f t="shared" si="4"/>
        <v>22</v>
      </c>
      <c r="B56" s="14" t="s">
        <v>42</v>
      </c>
      <c r="C56" s="14">
        <v>1</v>
      </c>
      <c r="D56" s="24">
        <v>0.45</v>
      </c>
      <c r="E56" s="24">
        <v>0.45</v>
      </c>
      <c r="F56" s="20">
        <v>2.08</v>
      </c>
      <c r="G56" s="24">
        <f t="shared" si="9"/>
        <v>0.42120000000000002</v>
      </c>
      <c r="I56" s="5">
        <f t="shared" si="5"/>
        <v>15</v>
      </c>
      <c r="J56" s="14" t="s">
        <v>42</v>
      </c>
      <c r="K56" s="14">
        <v>1</v>
      </c>
      <c r="L56" s="24">
        <v>0.45</v>
      </c>
      <c r="M56" s="24">
        <v>0.45</v>
      </c>
      <c r="N56" s="20">
        <v>0.6</v>
      </c>
      <c r="O56" s="24">
        <f t="shared" si="7"/>
        <v>0.12150000000000001</v>
      </c>
    </row>
    <row r="57" spans="1:15">
      <c r="A57" s="5">
        <f t="shared" si="4"/>
        <v>23</v>
      </c>
      <c r="B57" s="14" t="s">
        <v>43</v>
      </c>
      <c r="C57" s="14">
        <v>1</v>
      </c>
      <c r="D57" s="24">
        <v>0.6</v>
      </c>
      <c r="E57" s="24">
        <v>1.0249999999999999</v>
      </c>
      <c r="F57" s="20">
        <v>1.78</v>
      </c>
      <c r="G57" s="24">
        <f t="shared" si="9"/>
        <v>1.0946999999999998</v>
      </c>
      <c r="I57" s="5">
        <f t="shared" si="5"/>
        <v>16</v>
      </c>
      <c r="J57" s="14" t="s">
        <v>43</v>
      </c>
      <c r="K57" s="14">
        <v>1</v>
      </c>
      <c r="L57" s="24">
        <v>0.6</v>
      </c>
      <c r="M57" s="24">
        <v>1.0249999999999999</v>
      </c>
      <c r="N57" s="20">
        <v>0.6</v>
      </c>
      <c r="O57" s="24">
        <f t="shared" si="7"/>
        <v>0.36899999999999994</v>
      </c>
    </row>
    <row r="58" spans="1:15">
      <c r="A58" s="5">
        <f t="shared" si="4"/>
        <v>24</v>
      </c>
      <c r="B58" s="14" t="s">
        <v>44</v>
      </c>
      <c r="C58" s="14">
        <v>1</v>
      </c>
      <c r="D58" s="24">
        <v>0.45</v>
      </c>
      <c r="E58" s="24">
        <v>0.45</v>
      </c>
      <c r="F58" s="20">
        <v>1.78</v>
      </c>
      <c r="G58" s="24">
        <f t="shared" si="9"/>
        <v>0.36045000000000005</v>
      </c>
      <c r="I58" s="5">
        <f t="shared" si="5"/>
        <v>17</v>
      </c>
      <c r="J58" s="14" t="s">
        <v>44</v>
      </c>
      <c r="K58" s="14">
        <v>1</v>
      </c>
      <c r="L58" s="24">
        <v>0.45</v>
      </c>
      <c r="M58" s="24">
        <v>0.45</v>
      </c>
      <c r="N58" s="20">
        <v>0.6</v>
      </c>
      <c r="O58" s="24">
        <f t="shared" si="7"/>
        <v>0.12150000000000001</v>
      </c>
    </row>
    <row r="59" spans="1:15">
      <c r="A59" s="5">
        <f t="shared" si="4"/>
        <v>25</v>
      </c>
      <c r="B59" s="14" t="s">
        <v>45</v>
      </c>
      <c r="C59" s="14">
        <v>1</v>
      </c>
      <c r="D59" s="24">
        <v>0.6</v>
      </c>
      <c r="E59" s="24">
        <v>0.6</v>
      </c>
      <c r="F59" s="20">
        <v>2.08</v>
      </c>
      <c r="G59" s="24">
        <f t="shared" si="9"/>
        <v>0.74880000000000002</v>
      </c>
      <c r="I59" s="5">
        <f t="shared" si="5"/>
        <v>18</v>
      </c>
      <c r="J59" s="14" t="s">
        <v>45</v>
      </c>
      <c r="K59" s="14">
        <v>1</v>
      </c>
      <c r="L59" s="24">
        <v>0.6</v>
      </c>
      <c r="M59" s="24">
        <v>0.6</v>
      </c>
      <c r="N59" s="20">
        <v>0.6</v>
      </c>
      <c r="O59" s="24">
        <f t="shared" si="7"/>
        <v>0.216</v>
      </c>
    </row>
    <row r="60" spans="1:15">
      <c r="A60" s="5">
        <f t="shared" si="4"/>
        <v>26</v>
      </c>
      <c r="B60" s="14" t="s">
        <v>45</v>
      </c>
      <c r="C60" s="14">
        <v>1</v>
      </c>
      <c r="D60" s="24">
        <v>0.6</v>
      </c>
      <c r="E60" s="24">
        <v>0.6</v>
      </c>
      <c r="F60" s="20">
        <v>1.93</v>
      </c>
      <c r="G60" s="24">
        <f t="shared" si="9"/>
        <v>0.69479999999999997</v>
      </c>
      <c r="I60" s="5">
        <f t="shared" si="5"/>
        <v>19</v>
      </c>
      <c r="J60" s="14" t="s">
        <v>45</v>
      </c>
      <c r="K60" s="14">
        <v>1</v>
      </c>
      <c r="L60" s="24">
        <v>0.6</v>
      </c>
      <c r="M60" s="24">
        <v>0.6</v>
      </c>
      <c r="N60" s="20">
        <v>0.6</v>
      </c>
      <c r="O60" s="24">
        <f t="shared" si="7"/>
        <v>0.216</v>
      </c>
    </row>
    <row r="61" spans="1:15">
      <c r="A61" s="5">
        <f t="shared" si="4"/>
        <v>27</v>
      </c>
      <c r="B61" s="14" t="s">
        <v>46</v>
      </c>
      <c r="C61" s="14">
        <v>1</v>
      </c>
      <c r="D61" s="24">
        <v>0.45</v>
      </c>
      <c r="E61" s="24">
        <v>0.45</v>
      </c>
      <c r="F61" s="20">
        <v>2.08</v>
      </c>
      <c r="G61" s="24">
        <f t="shared" si="9"/>
        <v>0.42120000000000002</v>
      </c>
      <c r="I61" s="5">
        <f t="shared" si="5"/>
        <v>20</v>
      </c>
      <c r="J61" s="14" t="s">
        <v>46</v>
      </c>
      <c r="K61" s="14">
        <v>1</v>
      </c>
      <c r="L61" s="24">
        <v>0.45</v>
      </c>
      <c r="M61" s="24">
        <v>0.45</v>
      </c>
      <c r="N61" s="20">
        <v>0.6</v>
      </c>
      <c r="O61" s="24">
        <f t="shared" si="7"/>
        <v>0.12150000000000001</v>
      </c>
    </row>
    <row r="62" spans="1:15">
      <c r="A62" s="5"/>
      <c r="B62" s="14"/>
      <c r="C62" s="14"/>
      <c r="D62" s="24"/>
      <c r="E62" s="24"/>
      <c r="F62" s="20"/>
      <c r="G62" s="47">
        <f>SUM(G34:G61)</f>
        <v>149.46197499999988</v>
      </c>
      <c r="O62" s="31">
        <f>SUM(O42:O61)</f>
        <v>7.0845000000000002</v>
      </c>
    </row>
    <row r="63" spans="1:15" ht="18.5">
      <c r="A63" s="223" t="s">
        <v>481</v>
      </c>
      <c r="B63" s="223"/>
      <c r="C63" s="223"/>
      <c r="D63" s="223"/>
      <c r="E63" s="223"/>
      <c r="F63" s="223"/>
      <c r="G63" s="223"/>
      <c r="L63" s="48"/>
      <c r="M63" s="31"/>
      <c r="O63" s="31"/>
    </row>
    <row r="64" spans="1:15" ht="29">
      <c r="A64" s="16" t="s">
        <v>0</v>
      </c>
      <c r="B64" s="2" t="s">
        <v>1</v>
      </c>
      <c r="C64" s="16" t="s">
        <v>2</v>
      </c>
      <c r="D64" s="22" t="s">
        <v>6</v>
      </c>
      <c r="E64" s="22" t="s">
        <v>7</v>
      </c>
      <c r="F64" s="22" t="s">
        <v>8</v>
      </c>
      <c r="G64" s="23" t="s">
        <v>9</v>
      </c>
    </row>
    <row r="65" spans="1:7" ht="15.5">
      <c r="A65" s="5">
        <f>A61+1</f>
        <v>28</v>
      </c>
      <c r="B65" s="2" t="s">
        <v>402</v>
      </c>
      <c r="C65" s="14"/>
      <c r="D65" s="24"/>
      <c r="E65" s="24"/>
      <c r="F65" s="20"/>
      <c r="G65" s="24"/>
    </row>
    <row r="66" spans="1:7">
      <c r="A66" s="5">
        <f t="shared" si="4"/>
        <v>29</v>
      </c>
      <c r="B66" s="14" t="s">
        <v>405</v>
      </c>
      <c r="C66" s="14">
        <v>1</v>
      </c>
      <c r="D66" s="20">
        <v>5.2</v>
      </c>
      <c r="E66" s="20">
        <v>0.3</v>
      </c>
      <c r="F66" s="20">
        <v>0.6</v>
      </c>
      <c r="G66" s="20">
        <f>F66*E66*D66*C66</f>
        <v>0.93599999999999994</v>
      </c>
    </row>
    <row r="67" spans="1:7">
      <c r="A67" s="5">
        <f t="shared" si="4"/>
        <v>30</v>
      </c>
      <c r="B67" s="14" t="s">
        <v>405</v>
      </c>
      <c r="C67" s="14">
        <v>1</v>
      </c>
      <c r="D67" s="20">
        <v>5.65</v>
      </c>
      <c r="E67" s="20">
        <v>0.3</v>
      </c>
      <c r="F67" s="20">
        <v>0.6</v>
      </c>
      <c r="G67" s="20">
        <f>F67*E67*D67*C67</f>
        <v>1.0170000000000001</v>
      </c>
    </row>
    <row r="68" spans="1:7">
      <c r="A68" s="5">
        <f t="shared" si="4"/>
        <v>31</v>
      </c>
      <c r="B68" s="14" t="s">
        <v>405</v>
      </c>
      <c r="C68" s="14">
        <v>1</v>
      </c>
      <c r="D68" s="20">
        <v>5.4</v>
      </c>
      <c r="E68" s="20">
        <v>0.3</v>
      </c>
      <c r="F68" s="20">
        <v>0.6</v>
      </c>
      <c r="G68" s="20">
        <f t="shared" ref="G68:G85" si="10">F68*E68*D68*C68</f>
        <v>0.97199999999999998</v>
      </c>
    </row>
    <row r="69" spans="1:7">
      <c r="A69" s="5">
        <f t="shared" si="4"/>
        <v>32</v>
      </c>
      <c r="B69" s="14" t="s">
        <v>405</v>
      </c>
      <c r="C69" s="14">
        <v>1</v>
      </c>
      <c r="D69" s="20">
        <v>5.45</v>
      </c>
      <c r="E69" s="20">
        <v>0.3</v>
      </c>
      <c r="F69" s="20">
        <v>0.6</v>
      </c>
      <c r="G69" s="20">
        <f t="shared" si="10"/>
        <v>0.98099999999999998</v>
      </c>
    </row>
    <row r="70" spans="1:7">
      <c r="A70" s="5">
        <f t="shared" si="4"/>
        <v>33</v>
      </c>
      <c r="B70" s="14" t="s">
        <v>406</v>
      </c>
      <c r="C70" s="14">
        <v>1</v>
      </c>
      <c r="D70" s="20">
        <v>5.2</v>
      </c>
      <c r="E70" s="20">
        <v>0.3</v>
      </c>
      <c r="F70" s="20">
        <v>0.6</v>
      </c>
      <c r="G70" s="20">
        <f t="shared" si="10"/>
        <v>0.93599999999999994</v>
      </c>
    </row>
    <row r="71" spans="1:7">
      <c r="A71" s="5">
        <f t="shared" si="4"/>
        <v>34</v>
      </c>
      <c r="B71" s="14" t="s">
        <v>406</v>
      </c>
      <c r="C71" s="14">
        <v>1</v>
      </c>
      <c r="D71" s="20">
        <v>5.65</v>
      </c>
      <c r="E71" s="20">
        <v>0.3</v>
      </c>
      <c r="F71" s="20">
        <v>0.6</v>
      </c>
      <c r="G71" s="20">
        <f t="shared" si="10"/>
        <v>1.0170000000000001</v>
      </c>
    </row>
    <row r="72" spans="1:7">
      <c r="A72" s="5">
        <f t="shared" si="4"/>
        <v>35</v>
      </c>
      <c r="B72" s="14" t="s">
        <v>406</v>
      </c>
      <c r="C72" s="14">
        <v>1</v>
      </c>
      <c r="D72" s="20">
        <v>5.4</v>
      </c>
      <c r="E72" s="20">
        <v>0.3</v>
      </c>
      <c r="F72" s="20">
        <v>0.6</v>
      </c>
      <c r="G72" s="20">
        <f t="shared" si="10"/>
        <v>0.97199999999999998</v>
      </c>
    </row>
    <row r="73" spans="1:7">
      <c r="A73" s="5">
        <f t="shared" si="4"/>
        <v>36</v>
      </c>
      <c r="B73" s="14" t="s">
        <v>406</v>
      </c>
      <c r="C73" s="14">
        <v>1</v>
      </c>
      <c r="D73" s="20">
        <v>5.45</v>
      </c>
      <c r="E73" s="20">
        <v>0.3</v>
      </c>
      <c r="F73" s="20">
        <v>0.6</v>
      </c>
      <c r="G73" s="20">
        <f t="shared" si="10"/>
        <v>0.98099999999999998</v>
      </c>
    </row>
    <row r="74" spans="1:7">
      <c r="A74" s="5">
        <f t="shared" si="4"/>
        <v>37</v>
      </c>
      <c r="B74" s="14" t="s">
        <v>408</v>
      </c>
      <c r="C74" s="14">
        <v>2</v>
      </c>
      <c r="D74" s="18">
        <v>3.4249999999999998</v>
      </c>
      <c r="E74" s="20">
        <v>0.3</v>
      </c>
      <c r="F74" s="20">
        <v>0.6</v>
      </c>
      <c r="G74" s="20">
        <f t="shared" si="10"/>
        <v>1.2329999999999999</v>
      </c>
    </row>
    <row r="75" spans="1:7">
      <c r="A75" s="5">
        <f t="shared" si="4"/>
        <v>38</v>
      </c>
      <c r="B75" s="14" t="s">
        <v>408</v>
      </c>
      <c r="C75" s="14">
        <v>2</v>
      </c>
      <c r="D75" s="18">
        <v>2.9</v>
      </c>
      <c r="E75" s="20">
        <v>0.3</v>
      </c>
      <c r="F75" s="20">
        <v>0.6</v>
      </c>
      <c r="G75" s="20">
        <f t="shared" si="10"/>
        <v>1.044</v>
      </c>
    </row>
    <row r="76" spans="1:7">
      <c r="A76" s="5">
        <f t="shared" si="4"/>
        <v>39</v>
      </c>
      <c r="B76" s="14" t="s">
        <v>408</v>
      </c>
      <c r="C76" s="14">
        <v>2</v>
      </c>
      <c r="D76" s="20">
        <v>5.375</v>
      </c>
      <c r="E76" s="20">
        <v>0.3</v>
      </c>
      <c r="F76" s="20">
        <v>0.6</v>
      </c>
      <c r="G76" s="20">
        <f t="shared" si="10"/>
        <v>1.9349999999999998</v>
      </c>
    </row>
    <row r="77" spans="1:7">
      <c r="A77" s="5">
        <f t="shared" si="4"/>
        <v>40</v>
      </c>
      <c r="B77" s="14" t="s">
        <v>408</v>
      </c>
      <c r="C77" s="14">
        <v>2</v>
      </c>
      <c r="D77" s="20">
        <v>2.2000000000000002</v>
      </c>
      <c r="E77" s="20">
        <v>0.3</v>
      </c>
      <c r="F77" s="20">
        <v>0.6</v>
      </c>
      <c r="G77" s="20">
        <f t="shared" si="10"/>
        <v>0.79200000000000004</v>
      </c>
    </row>
    <row r="78" spans="1:7">
      <c r="A78" s="5">
        <f t="shared" si="4"/>
        <v>41</v>
      </c>
      <c r="B78" s="14" t="s">
        <v>408</v>
      </c>
      <c r="C78" s="14">
        <v>2</v>
      </c>
      <c r="D78" s="24">
        <v>2.8250000000000002</v>
      </c>
      <c r="E78" s="20">
        <v>0.3</v>
      </c>
      <c r="F78" s="20">
        <v>0.6</v>
      </c>
      <c r="G78" s="24">
        <f t="shared" si="10"/>
        <v>1.0170000000000001</v>
      </c>
    </row>
    <row r="79" spans="1:7">
      <c r="A79" s="5">
        <f t="shared" si="4"/>
        <v>42</v>
      </c>
      <c r="B79" s="14" t="s">
        <v>408</v>
      </c>
      <c r="C79" s="14">
        <v>3</v>
      </c>
      <c r="D79" s="24">
        <v>4.4000000000000004</v>
      </c>
      <c r="E79" s="20">
        <v>0.3</v>
      </c>
      <c r="F79" s="20">
        <v>0.6</v>
      </c>
      <c r="G79" s="24">
        <f t="shared" si="10"/>
        <v>2.3760000000000003</v>
      </c>
    </row>
    <row r="80" spans="1:7">
      <c r="A80" s="5">
        <f t="shared" si="4"/>
        <v>43</v>
      </c>
      <c r="B80" s="14" t="s">
        <v>408</v>
      </c>
      <c r="C80" s="14">
        <v>1</v>
      </c>
      <c r="D80" s="24">
        <v>2.5</v>
      </c>
      <c r="E80" s="20">
        <v>0.3</v>
      </c>
      <c r="F80" s="20">
        <v>0.6</v>
      </c>
      <c r="G80" s="24">
        <f t="shared" si="10"/>
        <v>0.44999999999999996</v>
      </c>
    </row>
    <row r="81" spans="1:7">
      <c r="A81" s="5">
        <f t="shared" si="4"/>
        <v>44</v>
      </c>
      <c r="B81" s="14" t="s">
        <v>408</v>
      </c>
      <c r="C81" s="14">
        <v>1</v>
      </c>
      <c r="D81" s="24">
        <v>2.286</v>
      </c>
      <c r="E81" s="20">
        <v>0.3</v>
      </c>
      <c r="F81" s="20">
        <v>0.6</v>
      </c>
      <c r="G81" s="24">
        <f t="shared" si="10"/>
        <v>0.41148000000000001</v>
      </c>
    </row>
    <row r="82" spans="1:7">
      <c r="A82" s="5">
        <f t="shared" si="4"/>
        <v>45</v>
      </c>
      <c r="B82" s="14" t="s">
        <v>408</v>
      </c>
      <c r="C82" s="14">
        <v>1</v>
      </c>
      <c r="D82" s="24">
        <v>2.5750000000000002</v>
      </c>
      <c r="E82" s="20">
        <v>0.3</v>
      </c>
      <c r="F82" s="20">
        <v>0.6</v>
      </c>
      <c r="G82" s="24">
        <f t="shared" si="10"/>
        <v>0.46350000000000002</v>
      </c>
    </row>
    <row r="83" spans="1:7">
      <c r="A83" s="5">
        <f t="shared" si="4"/>
        <v>46</v>
      </c>
      <c r="B83" s="14" t="s">
        <v>409</v>
      </c>
      <c r="C83" s="14">
        <v>2</v>
      </c>
      <c r="D83" s="24">
        <v>9.1</v>
      </c>
      <c r="E83" s="20">
        <v>0.45</v>
      </c>
      <c r="F83" s="20">
        <v>0.75</v>
      </c>
      <c r="G83" s="24">
        <f t="shared" si="10"/>
        <v>6.1425000000000001</v>
      </c>
    </row>
    <row r="84" spans="1:7">
      <c r="A84" s="5">
        <f>A83+1</f>
        <v>47</v>
      </c>
      <c r="B84" s="14" t="s">
        <v>409</v>
      </c>
      <c r="C84" s="14">
        <v>2</v>
      </c>
      <c r="D84" s="24">
        <v>10.9</v>
      </c>
      <c r="E84" s="20">
        <v>0.25</v>
      </c>
      <c r="F84" s="20">
        <v>0.2</v>
      </c>
      <c r="G84" s="24">
        <f>F84*E84*D84*C84</f>
        <v>1.0900000000000001</v>
      </c>
    </row>
    <row r="85" spans="1:7">
      <c r="A85" s="5">
        <f>A83+1</f>
        <v>47</v>
      </c>
      <c r="B85" s="14" t="s">
        <v>411</v>
      </c>
      <c r="C85" s="14">
        <v>1</v>
      </c>
      <c r="D85" s="24">
        <v>2.375</v>
      </c>
      <c r="E85" s="20">
        <v>0.3</v>
      </c>
      <c r="F85" s="20">
        <v>0.6</v>
      </c>
      <c r="G85" s="24">
        <f t="shared" si="10"/>
        <v>0.42749999999999999</v>
      </c>
    </row>
    <row r="86" spans="1:7">
      <c r="A86" s="5"/>
      <c r="B86" s="14"/>
      <c r="C86" s="14"/>
      <c r="D86" s="24"/>
      <c r="E86" s="24"/>
      <c r="F86" s="20"/>
      <c r="G86" s="24"/>
    </row>
    <row r="87" spans="1:7">
      <c r="A87" s="14"/>
      <c r="B87" s="14"/>
      <c r="C87" s="9"/>
      <c r="D87" s="18"/>
      <c r="E87" s="224" t="s">
        <v>16</v>
      </c>
      <c r="F87" s="224"/>
      <c r="G87" s="12">
        <f>SUM(G66:G86)</f>
        <v>25.193979999999996</v>
      </c>
    </row>
  </sheetData>
  <mergeCells count="5">
    <mergeCell ref="A63:G63"/>
    <mergeCell ref="A1:G1"/>
    <mergeCell ref="E30:F30"/>
    <mergeCell ref="A31:G31"/>
    <mergeCell ref="E87:F87"/>
  </mergeCells>
  <phoneticPr fontId="14" type="noConversion"/>
  <pageMargins left="0.7" right="0.7" top="0.75" bottom="0.75" header="0.3" footer="0.3"/>
  <pageSetup orientation="portrait" r:id="rId1"/>
  <rowBreaks count="2" manualBreakCount="2">
    <brk id="30" max="16383" man="1"/>
    <brk id="62"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A02CC-3113-4C67-B194-3354D668D7D1}">
  <dimension ref="A1:H59"/>
  <sheetViews>
    <sheetView topLeftCell="A9" zoomScaleNormal="100" workbookViewId="0">
      <selection activeCell="D35" sqref="D35"/>
    </sheetView>
  </sheetViews>
  <sheetFormatPr defaultRowHeight="14.5"/>
  <cols>
    <col min="2" max="2" width="25" customWidth="1"/>
    <col min="7" max="7" width="9.54296875" customWidth="1"/>
  </cols>
  <sheetData>
    <row r="1" spans="1:8" ht="15.5">
      <c r="A1" s="225" t="s">
        <v>486</v>
      </c>
      <c r="B1" s="225"/>
      <c r="C1" s="225"/>
      <c r="D1" s="225"/>
      <c r="E1" s="225"/>
      <c r="F1" s="225"/>
      <c r="G1" s="225"/>
    </row>
    <row r="2" spans="1:8" ht="29">
      <c r="A2" s="16" t="s">
        <v>0</v>
      </c>
      <c r="B2" s="2" t="s">
        <v>1</v>
      </c>
      <c r="C2" s="16" t="s">
        <v>2</v>
      </c>
      <c r="D2" s="22" t="s">
        <v>6</v>
      </c>
      <c r="E2" s="22" t="s">
        <v>7</v>
      </c>
      <c r="F2" s="22" t="s">
        <v>8</v>
      </c>
      <c r="G2" s="23" t="s">
        <v>20</v>
      </c>
    </row>
    <row r="3" spans="1:8">
      <c r="A3" s="5">
        <v>1</v>
      </c>
      <c r="B3" s="14" t="s">
        <v>10</v>
      </c>
      <c r="C3" s="14">
        <v>2</v>
      </c>
      <c r="D3" s="20">
        <v>2.8</v>
      </c>
      <c r="E3" s="20">
        <v>3.2</v>
      </c>
      <c r="F3" s="20">
        <v>0.6</v>
      </c>
      <c r="G3" s="6">
        <f>(D3+E3)*2*F3*C3</f>
        <v>14.399999999999999</v>
      </c>
    </row>
    <row r="4" spans="1:8">
      <c r="A4" s="5">
        <v>2</v>
      </c>
      <c r="B4" s="14" t="s">
        <v>11</v>
      </c>
      <c r="C4" s="14">
        <v>3</v>
      </c>
      <c r="D4" s="20">
        <v>3.2</v>
      </c>
      <c r="E4" s="20">
        <v>4</v>
      </c>
      <c r="F4" s="20">
        <v>0.75</v>
      </c>
      <c r="G4" s="6">
        <f t="shared" ref="G4:G9" si="0">(D4+E4)*2*F4*C4</f>
        <v>32.400000000000006</v>
      </c>
    </row>
    <row r="5" spans="1:8">
      <c r="A5" s="5">
        <v>3</v>
      </c>
      <c r="B5" s="14" t="s">
        <v>12</v>
      </c>
      <c r="C5" s="14">
        <v>1</v>
      </c>
      <c r="D5" s="20">
        <v>1.2</v>
      </c>
      <c r="E5" s="20">
        <v>1.2</v>
      </c>
      <c r="F5" s="20">
        <v>0.45</v>
      </c>
      <c r="G5" s="6">
        <f t="shared" si="0"/>
        <v>2.16</v>
      </c>
    </row>
    <row r="6" spans="1:8">
      <c r="A6" s="5">
        <v>4</v>
      </c>
      <c r="B6" s="14" t="s">
        <v>13</v>
      </c>
      <c r="C6" s="14">
        <v>3</v>
      </c>
      <c r="D6" s="20">
        <v>1.9</v>
      </c>
      <c r="E6" s="20">
        <v>1.9</v>
      </c>
      <c r="F6" s="20">
        <v>0.45</v>
      </c>
      <c r="G6" s="6">
        <f t="shared" si="0"/>
        <v>10.26</v>
      </c>
    </row>
    <row r="7" spans="1:8">
      <c r="A7" s="5">
        <v>5</v>
      </c>
      <c r="B7" s="14" t="s">
        <v>14</v>
      </c>
      <c r="C7" s="14">
        <v>3</v>
      </c>
      <c r="D7" s="18">
        <v>2.9</v>
      </c>
      <c r="E7" s="18">
        <v>2.5499999999999998</v>
      </c>
      <c r="F7" s="20">
        <v>0.6</v>
      </c>
      <c r="G7" s="6">
        <f t="shared" si="0"/>
        <v>19.619999999999997</v>
      </c>
    </row>
    <row r="8" spans="1:8">
      <c r="A8" s="5">
        <v>6</v>
      </c>
      <c r="B8" s="14" t="s">
        <v>15</v>
      </c>
      <c r="C8" s="14">
        <v>1</v>
      </c>
      <c r="D8" s="20">
        <v>2</v>
      </c>
      <c r="E8" s="20">
        <v>3.2</v>
      </c>
      <c r="F8" s="20">
        <v>0.45</v>
      </c>
      <c r="G8" s="6">
        <f t="shared" si="0"/>
        <v>4.6800000000000006</v>
      </c>
    </row>
    <row r="9" spans="1:8">
      <c r="A9" s="7">
        <v>7</v>
      </c>
      <c r="B9" s="14" t="s">
        <v>18</v>
      </c>
      <c r="C9" s="14">
        <v>1</v>
      </c>
      <c r="D9" s="24">
        <v>4.0999999999999996</v>
      </c>
      <c r="E9" s="24">
        <v>27</v>
      </c>
      <c r="F9" s="24">
        <v>0.6</v>
      </c>
      <c r="G9" s="6">
        <f t="shared" si="0"/>
        <v>37.32</v>
      </c>
    </row>
    <row r="10" spans="1:8">
      <c r="A10" s="5"/>
      <c r="B10" s="5"/>
      <c r="C10" s="6"/>
      <c r="D10" s="6"/>
      <c r="E10" s="226" t="s">
        <v>16</v>
      </c>
      <c r="F10" s="226"/>
      <c r="G10" s="12">
        <f>SUM(G3:G9)</f>
        <v>120.84</v>
      </c>
    </row>
    <row r="11" spans="1:8">
      <c r="A11" s="227"/>
      <c r="B11" s="227"/>
      <c r="C11" s="227"/>
      <c r="D11" s="227"/>
      <c r="E11" s="227"/>
      <c r="F11" s="227"/>
      <c r="G11" s="227"/>
      <c r="H11" s="227"/>
    </row>
    <row r="12" spans="1:8" ht="29">
      <c r="A12" s="1" t="s">
        <v>0</v>
      </c>
      <c r="B12" s="2" t="s">
        <v>1</v>
      </c>
      <c r="C12" s="1" t="s">
        <v>2</v>
      </c>
      <c r="D12" s="3" t="s">
        <v>6</v>
      </c>
      <c r="E12" s="3" t="s">
        <v>7</v>
      </c>
      <c r="F12" s="3" t="s">
        <v>8</v>
      </c>
      <c r="G12" s="30" t="s">
        <v>20</v>
      </c>
    </row>
    <row r="13" spans="1:8">
      <c r="A13" s="5">
        <v>1</v>
      </c>
      <c r="B13" s="14" t="s">
        <v>35</v>
      </c>
      <c r="C13" s="14">
        <v>2</v>
      </c>
      <c r="D13" s="20">
        <v>0.9</v>
      </c>
      <c r="E13" s="20">
        <v>0.5</v>
      </c>
      <c r="F13" s="20">
        <f>1.93</f>
        <v>1.93</v>
      </c>
      <c r="G13" s="6">
        <f>(D13+E13)*2*F13*C13</f>
        <v>10.808</v>
      </c>
    </row>
    <row r="14" spans="1:8">
      <c r="A14" s="5">
        <f>A13+1</f>
        <v>2</v>
      </c>
      <c r="B14" s="14" t="s">
        <v>35</v>
      </c>
      <c r="C14" s="14">
        <v>2</v>
      </c>
      <c r="D14" s="20">
        <v>0.9</v>
      </c>
      <c r="E14" s="20">
        <v>0.5</v>
      </c>
      <c r="F14" s="20">
        <f>1.93</f>
        <v>1.93</v>
      </c>
      <c r="G14" s="6">
        <f t="shared" ref="G14:G31" si="1">(D14+E14)*2*F14*C14</f>
        <v>10.808</v>
      </c>
    </row>
    <row r="15" spans="1:8">
      <c r="A15" s="5">
        <f t="shared" ref="A15:A31" si="2">A14+1</f>
        <v>3</v>
      </c>
      <c r="B15" s="14" t="s">
        <v>36</v>
      </c>
      <c r="C15" s="14">
        <v>1</v>
      </c>
      <c r="D15" s="20">
        <v>0.55000000000000004</v>
      </c>
      <c r="E15" s="20">
        <v>0.55000000000000004</v>
      </c>
      <c r="F15" s="20">
        <f>1.93</f>
        <v>1.93</v>
      </c>
      <c r="G15" s="6">
        <f t="shared" si="1"/>
        <v>4.2460000000000004</v>
      </c>
    </row>
    <row r="16" spans="1:8">
      <c r="A16" s="5">
        <f t="shared" si="2"/>
        <v>4</v>
      </c>
      <c r="B16" s="14" t="s">
        <v>36</v>
      </c>
      <c r="C16" s="14">
        <v>1</v>
      </c>
      <c r="D16" s="20">
        <v>0.55000000000000004</v>
      </c>
      <c r="E16" s="20">
        <v>0.55000000000000004</v>
      </c>
      <c r="F16" s="20">
        <v>2.08</v>
      </c>
      <c r="G16" s="6">
        <f t="shared" si="1"/>
        <v>4.5760000000000005</v>
      </c>
    </row>
    <row r="17" spans="1:7">
      <c r="A17" s="5">
        <f t="shared" si="2"/>
        <v>5</v>
      </c>
      <c r="B17" s="14" t="s">
        <v>37</v>
      </c>
      <c r="C17" s="14">
        <v>1</v>
      </c>
      <c r="D17" s="20">
        <v>0.65</v>
      </c>
      <c r="E17" s="20">
        <v>0.65</v>
      </c>
      <c r="F17" s="20">
        <f t="shared" ref="F17:F25" si="3">1.93</f>
        <v>1.93</v>
      </c>
      <c r="G17" s="6">
        <f t="shared" si="1"/>
        <v>5.0179999999999998</v>
      </c>
    </row>
    <row r="18" spans="1:7">
      <c r="A18" s="5">
        <f t="shared" si="2"/>
        <v>6</v>
      </c>
      <c r="B18" s="14" t="s">
        <v>37</v>
      </c>
      <c r="C18" s="14">
        <v>1</v>
      </c>
      <c r="D18" s="20">
        <v>0.65</v>
      </c>
      <c r="E18" s="20">
        <v>0.65</v>
      </c>
      <c r="F18" s="20">
        <f t="shared" si="3"/>
        <v>1.93</v>
      </c>
      <c r="G18" s="6">
        <f t="shared" si="1"/>
        <v>5.0179999999999998</v>
      </c>
    </row>
    <row r="19" spans="1:7">
      <c r="A19" s="5">
        <f t="shared" si="2"/>
        <v>7</v>
      </c>
      <c r="B19" s="14" t="s">
        <v>38</v>
      </c>
      <c r="C19" s="14">
        <v>1</v>
      </c>
      <c r="D19" s="20">
        <v>0.8</v>
      </c>
      <c r="E19" s="20">
        <v>0.8</v>
      </c>
      <c r="F19" s="20">
        <f t="shared" si="3"/>
        <v>1.93</v>
      </c>
      <c r="G19" s="6">
        <f t="shared" si="1"/>
        <v>6.1760000000000002</v>
      </c>
    </row>
    <row r="20" spans="1:7">
      <c r="A20" s="5">
        <f t="shared" si="2"/>
        <v>8</v>
      </c>
      <c r="B20" s="14" t="s">
        <v>38</v>
      </c>
      <c r="C20" s="14">
        <v>1</v>
      </c>
      <c r="D20" s="20">
        <v>0.8</v>
      </c>
      <c r="E20" s="20">
        <v>0.8</v>
      </c>
      <c r="F20" s="20">
        <f t="shared" si="3"/>
        <v>1.93</v>
      </c>
      <c r="G20" s="6">
        <f t="shared" si="1"/>
        <v>6.1760000000000002</v>
      </c>
    </row>
    <row r="21" spans="1:7">
      <c r="A21" s="5">
        <f t="shared" si="2"/>
        <v>9</v>
      </c>
      <c r="B21" s="14" t="s">
        <v>39</v>
      </c>
      <c r="C21" s="14">
        <v>1</v>
      </c>
      <c r="D21" s="18">
        <v>0.8</v>
      </c>
      <c r="E21" s="20">
        <v>0.8</v>
      </c>
      <c r="F21" s="20">
        <f t="shared" si="3"/>
        <v>1.93</v>
      </c>
      <c r="G21" s="6">
        <f t="shared" si="1"/>
        <v>6.1760000000000002</v>
      </c>
    </row>
    <row r="22" spans="1:7">
      <c r="A22" s="5">
        <f t="shared" si="2"/>
        <v>10</v>
      </c>
      <c r="B22" s="14" t="s">
        <v>39</v>
      </c>
      <c r="C22" s="14">
        <v>1</v>
      </c>
      <c r="D22" s="18">
        <v>0.8</v>
      </c>
      <c r="E22" s="20">
        <v>0.8</v>
      </c>
      <c r="F22" s="20">
        <f t="shared" si="3"/>
        <v>1.93</v>
      </c>
      <c r="G22" s="6">
        <f t="shared" si="1"/>
        <v>6.1760000000000002</v>
      </c>
    </row>
    <row r="23" spans="1:7">
      <c r="A23" s="5">
        <f t="shared" si="2"/>
        <v>11</v>
      </c>
      <c r="B23" s="14" t="s">
        <v>40</v>
      </c>
      <c r="C23" s="14">
        <v>1</v>
      </c>
      <c r="D23" s="20">
        <v>0.55000000000000004</v>
      </c>
      <c r="E23" s="20">
        <v>0.55000000000000004</v>
      </c>
      <c r="F23" s="20">
        <f t="shared" si="3"/>
        <v>1.93</v>
      </c>
      <c r="G23" s="6">
        <f t="shared" si="1"/>
        <v>4.2460000000000004</v>
      </c>
    </row>
    <row r="24" spans="1:7">
      <c r="A24" s="5">
        <f t="shared" si="2"/>
        <v>12</v>
      </c>
      <c r="B24" s="14" t="s">
        <v>40</v>
      </c>
      <c r="C24" s="14">
        <v>1</v>
      </c>
      <c r="D24" s="20">
        <v>0.55000000000000004</v>
      </c>
      <c r="E24" s="20">
        <v>0.55000000000000004</v>
      </c>
      <c r="F24" s="20">
        <f t="shared" si="3"/>
        <v>1.93</v>
      </c>
      <c r="G24" s="6">
        <f t="shared" si="1"/>
        <v>4.2460000000000004</v>
      </c>
    </row>
    <row r="25" spans="1:7">
      <c r="A25" s="5">
        <f t="shared" si="2"/>
        <v>13</v>
      </c>
      <c r="B25" s="14" t="s">
        <v>41</v>
      </c>
      <c r="C25" s="14">
        <v>3</v>
      </c>
      <c r="D25" s="24">
        <v>1</v>
      </c>
      <c r="E25" s="24">
        <v>0.6</v>
      </c>
      <c r="F25" s="20">
        <f t="shared" si="3"/>
        <v>1.93</v>
      </c>
      <c r="G25" s="6">
        <f t="shared" si="1"/>
        <v>18.527999999999999</v>
      </c>
    </row>
    <row r="26" spans="1:7">
      <c r="A26" s="5">
        <f t="shared" si="2"/>
        <v>14</v>
      </c>
      <c r="B26" s="14" t="s">
        <v>41</v>
      </c>
      <c r="C26" s="14">
        <v>2</v>
      </c>
      <c r="D26" s="24">
        <v>1</v>
      </c>
      <c r="E26" s="24">
        <v>0.6</v>
      </c>
      <c r="F26" s="20">
        <f>1.78</f>
        <v>1.78</v>
      </c>
      <c r="G26" s="6">
        <f t="shared" si="1"/>
        <v>11.392000000000001</v>
      </c>
    </row>
    <row r="27" spans="1:7">
      <c r="A27" s="5">
        <f t="shared" si="2"/>
        <v>15</v>
      </c>
      <c r="B27" s="14" t="s">
        <v>42</v>
      </c>
      <c r="C27" s="14">
        <v>1</v>
      </c>
      <c r="D27" s="24">
        <v>0.45</v>
      </c>
      <c r="E27" s="24">
        <v>0.45</v>
      </c>
      <c r="F27" s="20">
        <v>2.08</v>
      </c>
      <c r="G27" s="6">
        <f t="shared" si="1"/>
        <v>3.7440000000000002</v>
      </c>
    </row>
    <row r="28" spans="1:7">
      <c r="A28" s="5">
        <f t="shared" si="2"/>
        <v>16</v>
      </c>
      <c r="B28" s="14" t="s">
        <v>401</v>
      </c>
      <c r="C28" s="14">
        <v>1</v>
      </c>
      <c r="D28" s="24"/>
      <c r="E28" s="24">
        <f>1.025+0.45+0.325+0.575+0.6+0.925</f>
        <v>3.9000000000000004</v>
      </c>
      <c r="F28" s="20">
        <v>1.78</v>
      </c>
      <c r="G28" s="6">
        <f>(D28+E28)*F28*C28</f>
        <v>6.9420000000000011</v>
      </c>
    </row>
    <row r="29" spans="1:7">
      <c r="A29" s="5">
        <f t="shared" si="2"/>
        <v>17</v>
      </c>
      <c r="B29" s="14" t="s">
        <v>45</v>
      </c>
      <c r="C29" s="14">
        <v>1</v>
      </c>
      <c r="D29" s="24">
        <v>0.6</v>
      </c>
      <c r="E29" s="24">
        <v>0.6</v>
      </c>
      <c r="F29" s="20">
        <v>2.08</v>
      </c>
      <c r="G29" s="6">
        <f t="shared" si="1"/>
        <v>4.992</v>
      </c>
    </row>
    <row r="30" spans="1:7">
      <c r="A30" s="5">
        <f t="shared" si="2"/>
        <v>18</v>
      </c>
      <c r="B30" s="14" t="s">
        <v>45</v>
      </c>
      <c r="C30" s="14">
        <v>1</v>
      </c>
      <c r="D30" s="24">
        <v>0.6</v>
      </c>
      <c r="E30" s="24">
        <v>0.6</v>
      </c>
      <c r="F30" s="20">
        <v>1.93</v>
      </c>
      <c r="G30" s="6">
        <f t="shared" si="1"/>
        <v>4.6319999999999997</v>
      </c>
    </row>
    <row r="31" spans="1:7">
      <c r="A31" s="5">
        <f t="shared" si="2"/>
        <v>19</v>
      </c>
      <c r="B31" s="14" t="s">
        <v>46</v>
      </c>
      <c r="C31" s="14">
        <v>1</v>
      </c>
      <c r="D31" s="24">
        <v>0.45</v>
      </c>
      <c r="E31" s="24">
        <v>0.45</v>
      </c>
      <c r="F31" s="20">
        <v>2.08</v>
      </c>
      <c r="G31" s="6">
        <f t="shared" si="1"/>
        <v>3.7440000000000002</v>
      </c>
    </row>
    <row r="32" spans="1:7">
      <c r="A32" s="14"/>
      <c r="B32" s="14"/>
      <c r="C32" s="9"/>
      <c r="D32" s="18"/>
      <c r="E32" s="224" t="s">
        <v>16</v>
      </c>
      <c r="F32" s="224"/>
      <c r="G32" s="12">
        <f>SUM(G13:G31)</f>
        <v>127.64400000000002</v>
      </c>
    </row>
    <row r="33" spans="1:7">
      <c r="C33" s="10"/>
      <c r="D33" s="21"/>
      <c r="E33" s="190"/>
      <c r="F33" s="190"/>
      <c r="G33" s="190"/>
    </row>
    <row r="34" spans="1:7" ht="15.5">
      <c r="A34" s="225" t="s">
        <v>487</v>
      </c>
      <c r="B34" s="225"/>
      <c r="C34" s="225"/>
      <c r="D34" s="225"/>
      <c r="E34" s="225"/>
      <c r="F34" s="225"/>
      <c r="G34" s="225"/>
    </row>
    <row r="35" spans="1:7" ht="29">
      <c r="A35" s="1" t="s">
        <v>0</v>
      </c>
      <c r="B35" s="2" t="s">
        <v>1</v>
      </c>
      <c r="C35" s="1" t="s">
        <v>2</v>
      </c>
      <c r="D35" s="3" t="s">
        <v>6</v>
      </c>
      <c r="E35" s="3" t="s">
        <v>415</v>
      </c>
      <c r="F35" s="3" t="s">
        <v>8</v>
      </c>
      <c r="G35" s="30" t="s">
        <v>20</v>
      </c>
    </row>
    <row r="36" spans="1:7" ht="15.5">
      <c r="A36" s="5"/>
      <c r="B36" s="2" t="s">
        <v>402</v>
      </c>
      <c r="C36" s="14"/>
      <c r="D36" s="24"/>
      <c r="E36" s="24"/>
      <c r="F36" s="20"/>
      <c r="G36" s="24"/>
    </row>
    <row r="37" spans="1:7">
      <c r="A37" s="5">
        <v>1</v>
      </c>
      <c r="B37" s="14" t="s">
        <v>405</v>
      </c>
      <c r="C37" s="14">
        <v>1</v>
      </c>
      <c r="D37" s="20">
        <v>5.2</v>
      </c>
      <c r="E37" s="20">
        <v>2</v>
      </c>
      <c r="F37" s="20">
        <v>0.6</v>
      </c>
      <c r="G37" s="20">
        <f>F37*D37*C37*E37</f>
        <v>6.24</v>
      </c>
    </row>
    <row r="38" spans="1:7">
      <c r="A38" s="5">
        <f t="shared" ref="A38:A55" si="4">A37+1</f>
        <v>2</v>
      </c>
      <c r="B38" s="14" t="s">
        <v>405</v>
      </c>
      <c r="C38" s="14">
        <v>1</v>
      </c>
      <c r="D38" s="20">
        <v>5.65</v>
      </c>
      <c r="E38" s="20">
        <v>2</v>
      </c>
      <c r="F38" s="20">
        <v>0.6</v>
      </c>
      <c r="G38" s="20">
        <f t="shared" ref="G38:G58" si="5">F38*D38*C38*E38</f>
        <v>6.78</v>
      </c>
    </row>
    <row r="39" spans="1:7">
      <c r="A39" s="5">
        <f t="shared" si="4"/>
        <v>3</v>
      </c>
      <c r="B39" s="14" t="s">
        <v>405</v>
      </c>
      <c r="C39" s="14">
        <v>1</v>
      </c>
      <c r="D39" s="20">
        <v>5.4</v>
      </c>
      <c r="E39" s="20">
        <v>2</v>
      </c>
      <c r="F39" s="20">
        <v>0.6</v>
      </c>
      <c r="G39" s="20">
        <f t="shared" si="5"/>
        <v>6.48</v>
      </c>
    </row>
    <row r="40" spans="1:7">
      <c r="A40" s="5">
        <f t="shared" si="4"/>
        <v>4</v>
      </c>
      <c r="B40" s="14" t="s">
        <v>405</v>
      </c>
      <c r="C40" s="14">
        <v>1</v>
      </c>
      <c r="D40" s="20">
        <v>5.45</v>
      </c>
      <c r="E40" s="20">
        <v>2</v>
      </c>
      <c r="F40" s="20">
        <v>0.6</v>
      </c>
      <c r="G40" s="20">
        <f t="shared" si="5"/>
        <v>6.54</v>
      </c>
    </row>
    <row r="41" spans="1:7">
      <c r="A41" s="5">
        <f t="shared" si="4"/>
        <v>5</v>
      </c>
      <c r="B41" s="14" t="s">
        <v>406</v>
      </c>
      <c r="C41" s="14">
        <v>1</v>
      </c>
      <c r="D41" s="20">
        <v>5.2</v>
      </c>
      <c r="E41" s="20">
        <v>2</v>
      </c>
      <c r="F41" s="20">
        <v>0.6</v>
      </c>
      <c r="G41" s="20">
        <f t="shared" si="5"/>
        <v>6.24</v>
      </c>
    </row>
    <row r="42" spans="1:7">
      <c r="A42" s="5">
        <f t="shared" si="4"/>
        <v>6</v>
      </c>
      <c r="B42" s="14" t="s">
        <v>406</v>
      </c>
      <c r="C42" s="14">
        <v>1</v>
      </c>
      <c r="D42" s="20">
        <v>5.65</v>
      </c>
      <c r="E42" s="20">
        <v>2</v>
      </c>
      <c r="F42" s="20">
        <v>0.6</v>
      </c>
      <c r="G42" s="20">
        <f t="shared" si="5"/>
        <v>6.78</v>
      </c>
    </row>
    <row r="43" spans="1:7">
      <c r="A43" s="5">
        <f t="shared" si="4"/>
        <v>7</v>
      </c>
      <c r="B43" s="14" t="s">
        <v>406</v>
      </c>
      <c r="C43" s="14">
        <v>1</v>
      </c>
      <c r="D43" s="20">
        <v>5.4</v>
      </c>
      <c r="E43" s="20">
        <v>2</v>
      </c>
      <c r="F43" s="20">
        <v>0.6</v>
      </c>
      <c r="G43" s="20">
        <f t="shared" si="5"/>
        <v>6.48</v>
      </c>
    </row>
    <row r="44" spans="1:7">
      <c r="A44" s="5">
        <f t="shared" si="4"/>
        <v>8</v>
      </c>
      <c r="B44" s="14" t="s">
        <v>406</v>
      </c>
      <c r="C44" s="14">
        <v>1</v>
      </c>
      <c r="D44" s="20">
        <v>5.45</v>
      </c>
      <c r="E44" s="20">
        <v>2</v>
      </c>
      <c r="F44" s="20">
        <v>0.6</v>
      </c>
      <c r="G44" s="20">
        <f t="shared" si="5"/>
        <v>6.54</v>
      </c>
    </row>
    <row r="45" spans="1:7">
      <c r="A45" s="5">
        <f t="shared" si="4"/>
        <v>9</v>
      </c>
      <c r="B45" s="14" t="s">
        <v>408</v>
      </c>
      <c r="C45" s="14">
        <v>2</v>
      </c>
      <c r="D45" s="18">
        <v>3.4249999999999998</v>
      </c>
      <c r="E45" s="20">
        <v>2</v>
      </c>
      <c r="F45" s="20">
        <v>0.6</v>
      </c>
      <c r="G45" s="20">
        <f t="shared" si="5"/>
        <v>8.2199999999999989</v>
      </c>
    </row>
    <row r="46" spans="1:7">
      <c r="A46" s="5">
        <f t="shared" si="4"/>
        <v>10</v>
      </c>
      <c r="B46" s="14" t="s">
        <v>408</v>
      </c>
      <c r="C46" s="14">
        <v>2</v>
      </c>
      <c r="D46" s="18">
        <v>2.9</v>
      </c>
      <c r="E46" s="20">
        <v>2</v>
      </c>
      <c r="F46" s="20">
        <v>0.6</v>
      </c>
      <c r="G46" s="20">
        <f t="shared" si="5"/>
        <v>6.96</v>
      </c>
    </row>
    <row r="47" spans="1:7">
      <c r="A47" s="5">
        <f t="shared" si="4"/>
        <v>11</v>
      </c>
      <c r="B47" s="14" t="s">
        <v>408</v>
      </c>
      <c r="C47" s="14">
        <v>2</v>
      </c>
      <c r="D47" s="20">
        <v>5.375</v>
      </c>
      <c r="E47" s="20">
        <v>2</v>
      </c>
      <c r="F47" s="20">
        <v>0.6</v>
      </c>
      <c r="G47" s="20">
        <f t="shared" si="5"/>
        <v>12.9</v>
      </c>
    </row>
    <row r="48" spans="1:7">
      <c r="A48" s="5">
        <f t="shared" si="4"/>
        <v>12</v>
      </c>
      <c r="B48" s="14" t="s">
        <v>408</v>
      </c>
      <c r="C48" s="14">
        <v>2</v>
      </c>
      <c r="D48" s="20">
        <v>2.2000000000000002</v>
      </c>
      <c r="E48" s="20">
        <v>2</v>
      </c>
      <c r="F48" s="20">
        <v>0.6</v>
      </c>
      <c r="G48" s="20">
        <f t="shared" si="5"/>
        <v>5.28</v>
      </c>
    </row>
    <row r="49" spans="1:7">
      <c r="A49" s="5">
        <f t="shared" si="4"/>
        <v>13</v>
      </c>
      <c r="B49" s="14" t="s">
        <v>408</v>
      </c>
      <c r="C49" s="14">
        <v>2</v>
      </c>
      <c r="D49" s="24">
        <v>2.8250000000000002</v>
      </c>
      <c r="E49" s="20">
        <v>2</v>
      </c>
      <c r="F49" s="20">
        <v>0.6</v>
      </c>
      <c r="G49" s="20">
        <f t="shared" si="5"/>
        <v>6.78</v>
      </c>
    </row>
    <row r="50" spans="1:7">
      <c r="A50" s="5">
        <f t="shared" si="4"/>
        <v>14</v>
      </c>
      <c r="B50" s="14" t="s">
        <v>408</v>
      </c>
      <c r="C50" s="14">
        <v>3</v>
      </c>
      <c r="D50" s="24">
        <v>4.4000000000000004</v>
      </c>
      <c r="E50" s="20">
        <v>2</v>
      </c>
      <c r="F50" s="20">
        <v>0.6</v>
      </c>
      <c r="G50" s="20">
        <f t="shared" si="5"/>
        <v>15.84</v>
      </c>
    </row>
    <row r="51" spans="1:7">
      <c r="A51" s="5">
        <f t="shared" si="4"/>
        <v>15</v>
      </c>
      <c r="B51" s="14" t="s">
        <v>408</v>
      </c>
      <c r="C51" s="14">
        <v>1</v>
      </c>
      <c r="D51" s="24">
        <v>2.5</v>
      </c>
      <c r="E51" s="20">
        <v>2</v>
      </c>
      <c r="F51" s="20">
        <v>0.6</v>
      </c>
      <c r="G51" s="20">
        <f t="shared" si="5"/>
        <v>3</v>
      </c>
    </row>
    <row r="52" spans="1:7">
      <c r="A52" s="5">
        <f t="shared" si="4"/>
        <v>16</v>
      </c>
      <c r="B52" s="14" t="s">
        <v>408</v>
      </c>
      <c r="C52" s="14">
        <v>1</v>
      </c>
      <c r="D52" s="24">
        <v>2.286</v>
      </c>
      <c r="E52" s="20">
        <v>2</v>
      </c>
      <c r="F52" s="20">
        <v>0.6</v>
      </c>
      <c r="G52" s="20">
        <f t="shared" si="5"/>
        <v>2.7431999999999999</v>
      </c>
    </row>
    <row r="53" spans="1:7">
      <c r="A53" s="5">
        <f t="shared" si="4"/>
        <v>17</v>
      </c>
      <c r="B53" s="14" t="s">
        <v>408</v>
      </c>
      <c r="C53" s="14">
        <v>1</v>
      </c>
      <c r="D53" s="24">
        <v>2.5750000000000002</v>
      </c>
      <c r="E53" s="20">
        <v>2</v>
      </c>
      <c r="F53" s="20">
        <v>0.6</v>
      </c>
      <c r="G53" s="20">
        <f t="shared" si="5"/>
        <v>3.0900000000000003</v>
      </c>
    </row>
    <row r="54" spans="1:7">
      <c r="A54" s="5">
        <f t="shared" si="4"/>
        <v>18</v>
      </c>
      <c r="B54" s="14" t="s">
        <v>409</v>
      </c>
      <c r="C54" s="14">
        <v>2</v>
      </c>
      <c r="D54" s="24">
        <v>9.1</v>
      </c>
      <c r="E54" s="20">
        <v>1</v>
      </c>
      <c r="F54" s="20">
        <v>0.75</v>
      </c>
      <c r="G54" s="20">
        <f t="shared" si="5"/>
        <v>13.649999999999999</v>
      </c>
    </row>
    <row r="55" spans="1:7">
      <c r="A55" s="5">
        <f t="shared" si="4"/>
        <v>19</v>
      </c>
      <c r="B55" s="14" t="s">
        <v>409</v>
      </c>
      <c r="C55" s="14">
        <v>2</v>
      </c>
      <c r="D55" s="24">
        <v>9.1</v>
      </c>
      <c r="E55" s="20">
        <v>1</v>
      </c>
      <c r="F55" s="20">
        <v>0.5</v>
      </c>
      <c r="G55" s="20">
        <f>F55*D55*C55*E55</f>
        <v>9.1</v>
      </c>
    </row>
    <row r="56" spans="1:7">
      <c r="A56" s="5">
        <f>A54+1</f>
        <v>19</v>
      </c>
      <c r="B56" s="14" t="s">
        <v>409</v>
      </c>
      <c r="C56" s="14">
        <v>2</v>
      </c>
      <c r="D56" s="24">
        <v>10.9</v>
      </c>
      <c r="E56" s="20">
        <v>2</v>
      </c>
      <c r="F56" s="20">
        <v>0.2</v>
      </c>
      <c r="G56" s="20">
        <f t="shared" si="5"/>
        <v>8.7200000000000006</v>
      </c>
    </row>
    <row r="57" spans="1:7">
      <c r="A57" s="5">
        <f>A56+1</f>
        <v>20</v>
      </c>
      <c r="B57" s="14" t="s">
        <v>409</v>
      </c>
      <c r="C57" s="14">
        <v>2</v>
      </c>
      <c r="D57" s="24">
        <v>10.9</v>
      </c>
      <c r="E57" s="20">
        <v>2</v>
      </c>
      <c r="F57" s="20">
        <v>0.25</v>
      </c>
      <c r="G57" s="20">
        <f>F57*D57*C57*E57</f>
        <v>10.9</v>
      </c>
    </row>
    <row r="58" spans="1:7">
      <c r="A58" s="5">
        <f>A54+1</f>
        <v>19</v>
      </c>
      <c r="B58" s="14" t="s">
        <v>411</v>
      </c>
      <c r="C58" s="14">
        <v>1</v>
      </c>
      <c r="D58" s="24">
        <v>2.375</v>
      </c>
      <c r="E58" s="20">
        <v>2</v>
      </c>
      <c r="F58" s="20">
        <v>0.6</v>
      </c>
      <c r="G58" s="20">
        <f t="shared" si="5"/>
        <v>2.85</v>
      </c>
    </row>
    <row r="59" spans="1:7">
      <c r="A59" s="14"/>
      <c r="B59" s="14"/>
      <c r="C59" s="9"/>
      <c r="D59" s="18"/>
      <c r="E59" s="224" t="s">
        <v>16</v>
      </c>
      <c r="F59" s="224"/>
      <c r="G59" s="12">
        <f>SUM(G37:G58)</f>
        <v>162.11320000000001</v>
      </c>
    </row>
  </sheetData>
  <mergeCells count="6">
    <mergeCell ref="A1:G1"/>
    <mergeCell ref="E10:F10"/>
    <mergeCell ref="E32:F32"/>
    <mergeCell ref="E59:F59"/>
    <mergeCell ref="A34:G34"/>
    <mergeCell ref="A11:H11"/>
  </mergeCells>
  <pageMargins left="0.7" right="0.7" top="0.75" bottom="0.75" header="0.3" footer="0.3"/>
  <pageSetup orientation="portrait" r:id="rId1"/>
  <rowBreaks count="1" manualBreakCount="1">
    <brk id="34"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5F2CD6-6E46-4D47-9E31-72F541B1A2B5}">
  <dimension ref="A1:AH281"/>
  <sheetViews>
    <sheetView tabSelected="1" topLeftCell="B47" workbookViewId="0">
      <selection activeCell="Q64" sqref="Q64"/>
    </sheetView>
  </sheetViews>
  <sheetFormatPr defaultRowHeight="14.5"/>
  <cols>
    <col min="1" max="1" width="9" bestFit="1" customWidth="1"/>
    <col min="2" max="2" width="28" customWidth="1"/>
    <col min="3" max="3" width="11.90625" customWidth="1"/>
    <col min="4" max="4" width="12" customWidth="1"/>
    <col min="5" max="5" width="10.1796875" customWidth="1"/>
    <col min="6" max="6" width="11.08984375" bestFit="1" customWidth="1"/>
    <col min="7" max="8" width="9" bestFit="1" customWidth="1"/>
    <col min="9" max="10" width="12.81640625" bestFit="1" customWidth="1"/>
    <col min="11" max="11" width="9" bestFit="1" customWidth="1"/>
    <col min="12" max="12" width="14.90625" bestFit="1" customWidth="1"/>
    <col min="13" max="13" width="13.54296875" customWidth="1"/>
    <col min="16" max="16" width="17.54296875" customWidth="1"/>
  </cols>
  <sheetData>
    <row r="1" spans="1:34" ht="34.25" customHeight="1">
      <c r="A1" s="242" t="s">
        <v>416</v>
      </c>
      <c r="B1" s="242"/>
      <c r="C1" s="242"/>
      <c r="D1" s="242"/>
      <c r="E1" s="242"/>
      <c r="F1" s="242"/>
      <c r="G1" s="242"/>
      <c r="H1" s="242"/>
      <c r="I1" s="242"/>
      <c r="J1" s="242"/>
      <c r="K1" s="242"/>
      <c r="L1" s="242"/>
      <c r="M1" s="242"/>
    </row>
    <row r="2" spans="1:34" s="129" customFormat="1" ht="28">
      <c r="A2" s="125" t="s">
        <v>0</v>
      </c>
      <c r="B2" s="125" t="s">
        <v>417</v>
      </c>
      <c r="C2" s="126" t="s">
        <v>2</v>
      </c>
      <c r="D2" s="127" t="s">
        <v>418</v>
      </c>
      <c r="E2" s="128"/>
      <c r="F2" s="125" t="s">
        <v>419</v>
      </c>
      <c r="G2" s="125" t="s">
        <v>420</v>
      </c>
      <c r="H2" s="125" t="s">
        <v>421</v>
      </c>
      <c r="I2" s="125" t="s">
        <v>422</v>
      </c>
      <c r="J2" s="125" t="s">
        <v>423</v>
      </c>
      <c r="K2" s="125" t="s">
        <v>424</v>
      </c>
      <c r="L2" s="125" t="s">
        <v>425</v>
      </c>
      <c r="M2" s="125" t="s">
        <v>426</v>
      </c>
      <c r="O2" s="130"/>
      <c r="P2" s="130"/>
      <c r="Q2" s="130"/>
      <c r="R2" s="130"/>
      <c r="S2" s="131"/>
      <c r="T2" s="130"/>
      <c r="U2" s="131"/>
      <c r="V2" s="131"/>
      <c r="W2" s="130"/>
      <c r="X2" s="130"/>
      <c r="Y2" s="243"/>
      <c r="Z2" s="243"/>
      <c r="AA2" s="243"/>
      <c r="AB2" s="243"/>
      <c r="AC2" s="243"/>
      <c r="AD2" s="132"/>
      <c r="AE2" s="130"/>
      <c r="AF2" s="130"/>
      <c r="AG2" s="130"/>
      <c r="AH2" s="130"/>
    </row>
    <row r="3" spans="1:34" ht="13.75" customHeight="1">
      <c r="A3" s="241">
        <v>1</v>
      </c>
      <c r="B3" s="240" t="s">
        <v>10</v>
      </c>
      <c r="C3" s="5">
        <v>2</v>
      </c>
      <c r="D3" s="241" t="s">
        <v>427</v>
      </c>
      <c r="E3" s="133" t="s">
        <v>428</v>
      </c>
      <c r="F3" s="133" t="s">
        <v>429</v>
      </c>
      <c r="G3" s="133">
        <v>10</v>
      </c>
      <c r="H3" s="133">
        <v>100</v>
      </c>
      <c r="I3" s="133">
        <f>ROUND(3.1/0.1+1,0)</f>
        <v>32</v>
      </c>
      <c r="J3" s="134">
        <v>3.5</v>
      </c>
      <c r="K3" s="133">
        <f t="shared" ref="K3:K66" si="0">I3*J3</f>
        <v>112</v>
      </c>
      <c r="L3" s="135">
        <f>G3*G3/162.2</f>
        <v>0.61652281134401976</v>
      </c>
      <c r="M3" s="152">
        <f>(K3*L3*C3)</f>
        <v>138.10110974106044</v>
      </c>
      <c r="P3" s="227"/>
    </row>
    <row r="4" spans="1:34" ht="13.75" customHeight="1">
      <c r="A4" s="241"/>
      <c r="B4" s="240"/>
      <c r="C4" s="5">
        <v>2</v>
      </c>
      <c r="D4" s="241"/>
      <c r="E4" s="133" t="s">
        <v>430</v>
      </c>
      <c r="F4" s="133"/>
      <c r="G4" s="133">
        <v>10</v>
      </c>
      <c r="H4" s="133">
        <v>100</v>
      </c>
      <c r="I4" s="133">
        <f t="shared" ref="I4:I21" si="1">ROUND(2.7/0.1+1,0)</f>
        <v>28</v>
      </c>
      <c r="J4" s="133">
        <v>3.9</v>
      </c>
      <c r="K4" s="133">
        <f t="shared" si="0"/>
        <v>109.2</v>
      </c>
      <c r="L4" s="135">
        <f t="shared" ref="L4:L67" si="2">G4*G4/162.2</f>
        <v>0.61652281134401976</v>
      </c>
      <c r="M4" s="152">
        <f t="shared" ref="M4:M67" si="3">(K4*L4*C4)</f>
        <v>134.64858199753391</v>
      </c>
      <c r="P4" s="227"/>
    </row>
    <row r="5" spans="1:34" ht="13.75" customHeight="1">
      <c r="A5" s="241"/>
      <c r="B5" s="240"/>
      <c r="C5" s="5">
        <v>2</v>
      </c>
      <c r="D5" s="241" t="s">
        <v>431</v>
      </c>
      <c r="E5" s="133" t="s">
        <v>428</v>
      </c>
      <c r="F5" s="133" t="s">
        <v>429</v>
      </c>
      <c r="G5" s="133">
        <v>10</v>
      </c>
      <c r="H5" s="133">
        <v>100</v>
      </c>
      <c r="I5" s="133">
        <f>ROUND(3.1/0.1+1,0)</f>
        <v>32</v>
      </c>
      <c r="J5" s="133">
        <v>3.5</v>
      </c>
      <c r="K5" s="133">
        <f t="shared" si="0"/>
        <v>112</v>
      </c>
      <c r="L5" s="135">
        <f t="shared" si="2"/>
        <v>0.61652281134401976</v>
      </c>
      <c r="M5" s="152">
        <f t="shared" si="3"/>
        <v>138.10110974106044</v>
      </c>
      <c r="P5" s="227"/>
    </row>
    <row r="6" spans="1:34">
      <c r="A6" s="241"/>
      <c r="B6" s="240"/>
      <c r="C6" s="5">
        <v>2</v>
      </c>
      <c r="D6" s="241"/>
      <c r="E6" s="133" t="s">
        <v>430</v>
      </c>
      <c r="F6" s="133"/>
      <c r="G6" s="133">
        <v>10</v>
      </c>
      <c r="H6" s="133">
        <v>100</v>
      </c>
      <c r="I6" s="133">
        <f t="shared" si="1"/>
        <v>28</v>
      </c>
      <c r="J6" s="133">
        <v>3.9</v>
      </c>
      <c r="K6" s="133">
        <f t="shared" si="0"/>
        <v>109.2</v>
      </c>
      <c r="L6" s="135">
        <f t="shared" si="2"/>
        <v>0.61652281134401976</v>
      </c>
      <c r="M6" s="152">
        <f t="shared" si="3"/>
        <v>134.64858199753391</v>
      </c>
      <c r="P6" s="227"/>
    </row>
    <row r="7" spans="1:34">
      <c r="A7" s="241">
        <v>2</v>
      </c>
      <c r="B7" s="240" t="s">
        <v>11</v>
      </c>
      <c r="C7" s="5">
        <v>3</v>
      </c>
      <c r="D7" s="241" t="s">
        <v>427</v>
      </c>
      <c r="E7" s="133" t="s">
        <v>428</v>
      </c>
      <c r="F7" s="133" t="s">
        <v>432</v>
      </c>
      <c r="G7" s="133">
        <v>12</v>
      </c>
      <c r="H7" s="133">
        <v>125</v>
      </c>
      <c r="I7" s="133">
        <f>ROUND(3.9/0.125+1,0)</f>
        <v>32</v>
      </c>
      <c r="J7" s="133">
        <v>4.25</v>
      </c>
      <c r="K7" s="133">
        <f t="shared" si="0"/>
        <v>136</v>
      </c>
      <c r="L7" s="135">
        <f t="shared" si="2"/>
        <v>0.88779284833538852</v>
      </c>
      <c r="M7" s="152">
        <f t="shared" si="3"/>
        <v>362.21948212083851</v>
      </c>
      <c r="P7" s="227"/>
    </row>
    <row r="8" spans="1:34">
      <c r="A8" s="241"/>
      <c r="B8" s="240"/>
      <c r="C8" s="5">
        <v>3</v>
      </c>
      <c r="D8" s="241"/>
      <c r="E8" s="133" t="s">
        <v>430</v>
      </c>
      <c r="F8" s="133"/>
      <c r="G8" s="133">
        <v>12</v>
      </c>
      <c r="H8" s="133">
        <v>125</v>
      </c>
      <c r="I8" s="133">
        <f>ROUND(3.3/0.125+1,0)</f>
        <v>27</v>
      </c>
      <c r="J8" s="133">
        <v>4.8499999999999996</v>
      </c>
      <c r="K8" s="133">
        <f t="shared" si="0"/>
        <v>130.94999999999999</v>
      </c>
      <c r="L8" s="135">
        <f t="shared" si="2"/>
        <v>0.88779284833538852</v>
      </c>
      <c r="M8" s="152">
        <f t="shared" si="3"/>
        <v>348.76942046855731</v>
      </c>
      <c r="P8" s="227"/>
    </row>
    <row r="9" spans="1:34">
      <c r="A9" s="241"/>
      <c r="B9" s="240"/>
      <c r="C9" s="5">
        <v>3</v>
      </c>
      <c r="D9" s="241" t="s">
        <v>431</v>
      </c>
      <c r="E9" s="133" t="s">
        <v>428</v>
      </c>
      <c r="F9" s="133" t="s">
        <v>432</v>
      </c>
      <c r="G9" s="133">
        <v>10</v>
      </c>
      <c r="H9" s="133">
        <v>100</v>
      </c>
      <c r="I9" s="133">
        <f>ROUND(3.9/0.1+1,0)</f>
        <v>40</v>
      </c>
      <c r="J9" s="133">
        <v>4.25</v>
      </c>
      <c r="K9" s="133">
        <f t="shared" si="0"/>
        <v>170</v>
      </c>
      <c r="L9" s="135">
        <f t="shared" si="2"/>
        <v>0.61652281134401976</v>
      </c>
      <c r="M9" s="152">
        <f t="shared" si="3"/>
        <v>314.42663378545006</v>
      </c>
      <c r="P9" s="227"/>
    </row>
    <row r="10" spans="1:34">
      <c r="A10" s="241"/>
      <c r="B10" s="240"/>
      <c r="C10" s="5">
        <v>3</v>
      </c>
      <c r="D10" s="241"/>
      <c r="E10" s="133" t="s">
        <v>430</v>
      </c>
      <c r="F10" s="133"/>
      <c r="G10" s="133">
        <v>10</v>
      </c>
      <c r="H10" s="133">
        <v>100</v>
      </c>
      <c r="I10" s="133">
        <f>ROUND(3.3/0.1+1,0)</f>
        <v>34</v>
      </c>
      <c r="J10" s="133">
        <v>4.8499999999999996</v>
      </c>
      <c r="K10" s="133">
        <f t="shared" si="0"/>
        <v>164.89999999999998</v>
      </c>
      <c r="L10" s="135">
        <f t="shared" si="2"/>
        <v>0.61652281134401976</v>
      </c>
      <c r="M10" s="152">
        <f t="shared" si="3"/>
        <v>304.99383477188655</v>
      </c>
      <c r="P10" s="227"/>
    </row>
    <row r="11" spans="1:34">
      <c r="A11" s="241">
        <v>3</v>
      </c>
      <c r="B11" s="240" t="s">
        <v>12</v>
      </c>
      <c r="C11" s="5">
        <v>1</v>
      </c>
      <c r="D11" s="241" t="s">
        <v>427</v>
      </c>
      <c r="E11" s="133" t="s">
        <v>428</v>
      </c>
      <c r="F11" s="133" t="s">
        <v>433</v>
      </c>
      <c r="G11" s="133">
        <v>10</v>
      </c>
      <c r="H11" s="133">
        <v>150</v>
      </c>
      <c r="I11" s="133">
        <f>ROUND(1.1/0.15+1,0)</f>
        <v>8</v>
      </c>
      <c r="J11" s="133">
        <v>1.75</v>
      </c>
      <c r="K11" s="133">
        <f t="shared" si="0"/>
        <v>14</v>
      </c>
      <c r="L11" s="135">
        <f t="shared" si="2"/>
        <v>0.61652281134401976</v>
      </c>
      <c r="M11" s="152">
        <f t="shared" si="3"/>
        <v>8.6313193588162775</v>
      </c>
      <c r="P11" s="227"/>
    </row>
    <row r="12" spans="1:34">
      <c r="A12" s="241"/>
      <c r="B12" s="240"/>
      <c r="C12" s="5">
        <v>1</v>
      </c>
      <c r="D12" s="241"/>
      <c r="E12" s="133" t="s">
        <v>430</v>
      </c>
      <c r="F12" s="133"/>
      <c r="G12" s="133">
        <v>10</v>
      </c>
      <c r="H12" s="133">
        <v>150</v>
      </c>
      <c r="I12" s="133">
        <f t="shared" ref="I12:I14" si="4">ROUND(1.1/0.15+1,0)</f>
        <v>8</v>
      </c>
      <c r="J12" s="133">
        <v>1.75</v>
      </c>
      <c r="K12" s="133">
        <f t="shared" si="0"/>
        <v>14</v>
      </c>
      <c r="L12" s="135">
        <f t="shared" si="2"/>
        <v>0.61652281134401976</v>
      </c>
      <c r="M12" s="152">
        <f t="shared" si="3"/>
        <v>8.6313193588162775</v>
      </c>
      <c r="P12" s="227"/>
    </row>
    <row r="13" spans="1:34">
      <c r="A13" s="241"/>
      <c r="B13" s="240"/>
      <c r="C13" s="5">
        <v>1</v>
      </c>
      <c r="D13" s="241" t="s">
        <v>431</v>
      </c>
      <c r="E13" s="133" t="s">
        <v>428</v>
      </c>
      <c r="F13" s="133" t="s">
        <v>433</v>
      </c>
      <c r="G13" s="133">
        <v>10</v>
      </c>
      <c r="H13" s="133">
        <v>150</v>
      </c>
      <c r="I13" s="133">
        <f t="shared" si="4"/>
        <v>8</v>
      </c>
      <c r="J13" s="133">
        <v>1.75</v>
      </c>
      <c r="K13" s="133">
        <f t="shared" si="0"/>
        <v>14</v>
      </c>
      <c r="L13" s="135">
        <f t="shared" si="2"/>
        <v>0.61652281134401976</v>
      </c>
      <c r="M13" s="152">
        <f t="shared" si="3"/>
        <v>8.6313193588162775</v>
      </c>
      <c r="P13" s="227"/>
    </row>
    <row r="14" spans="1:34">
      <c r="A14" s="241"/>
      <c r="B14" s="240"/>
      <c r="C14" s="5">
        <v>1</v>
      </c>
      <c r="D14" s="241"/>
      <c r="E14" s="133" t="s">
        <v>430</v>
      </c>
      <c r="F14" s="133"/>
      <c r="G14" s="133">
        <v>10</v>
      </c>
      <c r="H14" s="133">
        <v>150</v>
      </c>
      <c r="I14" s="133">
        <f t="shared" si="4"/>
        <v>8</v>
      </c>
      <c r="J14" s="133">
        <v>1.75</v>
      </c>
      <c r="K14" s="133">
        <f t="shared" si="0"/>
        <v>14</v>
      </c>
      <c r="L14" s="135">
        <f t="shared" si="2"/>
        <v>0.61652281134401976</v>
      </c>
      <c r="M14" s="152">
        <f t="shared" si="3"/>
        <v>8.6313193588162775</v>
      </c>
      <c r="P14" s="227"/>
    </row>
    <row r="15" spans="1:34">
      <c r="A15" s="241">
        <v>4</v>
      </c>
      <c r="B15" s="240" t="s">
        <v>13</v>
      </c>
      <c r="C15" s="5">
        <v>3</v>
      </c>
      <c r="D15" s="241" t="s">
        <v>427</v>
      </c>
      <c r="E15" s="133" t="s">
        <v>428</v>
      </c>
      <c r="F15" s="133" t="s">
        <v>434</v>
      </c>
      <c r="G15" s="133">
        <v>10</v>
      </c>
      <c r="H15" s="133">
        <v>125</v>
      </c>
      <c r="I15" s="133">
        <f>ROUND(1.8/0.125+1,0)</f>
        <v>15</v>
      </c>
      <c r="J15" s="133">
        <v>2.4500000000000002</v>
      </c>
      <c r="K15" s="133">
        <f t="shared" si="0"/>
        <v>36.75</v>
      </c>
      <c r="L15" s="135">
        <f t="shared" si="2"/>
        <v>0.61652281134401976</v>
      </c>
      <c r="M15" s="152">
        <f t="shared" si="3"/>
        <v>67.971639950678181</v>
      </c>
      <c r="P15" s="227"/>
    </row>
    <row r="16" spans="1:34">
      <c r="A16" s="241"/>
      <c r="B16" s="240"/>
      <c r="C16" s="5">
        <v>3</v>
      </c>
      <c r="D16" s="241"/>
      <c r="E16" s="133" t="s">
        <v>430</v>
      </c>
      <c r="F16" s="133"/>
      <c r="G16" s="133">
        <v>10</v>
      </c>
      <c r="H16" s="133">
        <v>125</v>
      </c>
      <c r="I16" s="133">
        <f>ROUND(1.8/0.125+1,0)</f>
        <v>15</v>
      </c>
      <c r="J16" s="133">
        <v>2.4500000000000002</v>
      </c>
      <c r="K16" s="133">
        <f t="shared" si="0"/>
        <v>36.75</v>
      </c>
      <c r="L16" s="135">
        <f t="shared" si="2"/>
        <v>0.61652281134401976</v>
      </c>
      <c r="M16" s="152">
        <f t="shared" si="3"/>
        <v>67.971639950678181</v>
      </c>
      <c r="P16" s="227"/>
    </row>
    <row r="17" spans="1:16">
      <c r="A17" s="241"/>
      <c r="B17" s="240"/>
      <c r="C17" s="5">
        <v>3</v>
      </c>
      <c r="D17" s="241" t="s">
        <v>431</v>
      </c>
      <c r="E17" s="133" t="s">
        <v>428</v>
      </c>
      <c r="F17" s="133" t="s">
        <v>434</v>
      </c>
      <c r="G17" s="133">
        <v>10</v>
      </c>
      <c r="H17" s="133">
        <v>150</v>
      </c>
      <c r="I17" s="133">
        <f>ROUND(1.8/0.15+1,0)</f>
        <v>13</v>
      </c>
      <c r="J17" s="133">
        <v>2.4500000000000002</v>
      </c>
      <c r="K17" s="133">
        <f t="shared" si="0"/>
        <v>31.85</v>
      </c>
      <c r="L17" s="135">
        <f t="shared" si="2"/>
        <v>0.61652281134401976</v>
      </c>
      <c r="M17" s="152">
        <f t="shared" si="3"/>
        <v>58.908754623921084</v>
      </c>
      <c r="P17" s="227"/>
    </row>
    <row r="18" spans="1:16">
      <c r="A18" s="241"/>
      <c r="B18" s="240"/>
      <c r="C18" s="5">
        <v>3</v>
      </c>
      <c r="D18" s="241"/>
      <c r="E18" s="133" t="s">
        <v>430</v>
      </c>
      <c r="F18" s="133"/>
      <c r="G18" s="133">
        <v>10</v>
      </c>
      <c r="H18" s="133">
        <v>150</v>
      </c>
      <c r="I18" s="133">
        <f>ROUND(1.8/0.15+1,0)</f>
        <v>13</v>
      </c>
      <c r="J18" s="133">
        <v>2.4500000000000002</v>
      </c>
      <c r="K18" s="133">
        <f t="shared" si="0"/>
        <v>31.85</v>
      </c>
      <c r="L18" s="135">
        <f t="shared" si="2"/>
        <v>0.61652281134401976</v>
      </c>
      <c r="M18" s="152">
        <f t="shared" si="3"/>
        <v>58.908754623921084</v>
      </c>
      <c r="P18" s="227"/>
    </row>
    <row r="19" spans="1:16">
      <c r="A19" s="241">
        <v>5</v>
      </c>
      <c r="B19" s="240" t="s">
        <v>14</v>
      </c>
      <c r="C19" s="5">
        <v>3</v>
      </c>
      <c r="D19" s="241" t="s">
        <v>427</v>
      </c>
      <c r="E19" s="133" t="s">
        <v>428</v>
      </c>
      <c r="F19" s="133" t="s">
        <v>435</v>
      </c>
      <c r="G19" s="133">
        <v>10</v>
      </c>
      <c r="H19" s="133">
        <v>100</v>
      </c>
      <c r="I19" s="133">
        <f>ROUND(2.8/0.1+1,0)</f>
        <v>29</v>
      </c>
      <c r="J19" s="133">
        <v>3.25</v>
      </c>
      <c r="K19" s="133">
        <f t="shared" si="0"/>
        <v>94.25</v>
      </c>
      <c r="L19" s="135">
        <f t="shared" si="2"/>
        <v>0.61652281134401976</v>
      </c>
      <c r="M19" s="152">
        <f t="shared" si="3"/>
        <v>174.3218249075216</v>
      </c>
      <c r="P19" s="227"/>
    </row>
    <row r="20" spans="1:16">
      <c r="A20" s="241"/>
      <c r="B20" s="240"/>
      <c r="C20" s="5">
        <v>3</v>
      </c>
      <c r="D20" s="241"/>
      <c r="E20" s="133" t="s">
        <v>430</v>
      </c>
      <c r="F20" s="133"/>
      <c r="G20" s="133">
        <v>10</v>
      </c>
      <c r="H20" s="133">
        <v>100</v>
      </c>
      <c r="I20" s="133">
        <f>ROUND(2.45/0.1+1,0)</f>
        <v>26</v>
      </c>
      <c r="J20" s="133">
        <v>3.6</v>
      </c>
      <c r="K20" s="133">
        <f t="shared" si="0"/>
        <v>93.600000000000009</v>
      </c>
      <c r="L20" s="135">
        <f t="shared" si="2"/>
        <v>0.61652281134401976</v>
      </c>
      <c r="M20" s="152">
        <f t="shared" si="3"/>
        <v>173.11960542540075</v>
      </c>
      <c r="P20" s="227"/>
    </row>
    <row r="21" spans="1:16">
      <c r="A21" s="241"/>
      <c r="B21" s="240"/>
      <c r="C21" s="5">
        <v>3</v>
      </c>
      <c r="D21" s="241" t="s">
        <v>431</v>
      </c>
      <c r="E21" s="133" t="s">
        <v>428</v>
      </c>
      <c r="F21" s="133" t="s">
        <v>436</v>
      </c>
      <c r="G21" s="133">
        <v>10</v>
      </c>
      <c r="H21" s="133">
        <v>125</v>
      </c>
      <c r="I21" s="133">
        <f t="shared" si="1"/>
        <v>28</v>
      </c>
      <c r="J21" s="133">
        <v>3.25</v>
      </c>
      <c r="K21" s="133">
        <f t="shared" si="0"/>
        <v>91</v>
      </c>
      <c r="L21" s="135">
        <f t="shared" si="2"/>
        <v>0.61652281134401976</v>
      </c>
      <c r="M21" s="152">
        <f t="shared" si="3"/>
        <v>168.31072749691739</v>
      </c>
      <c r="P21" s="227"/>
    </row>
    <row r="22" spans="1:16">
      <c r="A22" s="241"/>
      <c r="B22" s="240"/>
      <c r="C22" s="5">
        <v>3</v>
      </c>
      <c r="D22" s="241"/>
      <c r="E22" s="133" t="s">
        <v>430</v>
      </c>
      <c r="F22" s="133"/>
      <c r="G22" s="133">
        <v>10</v>
      </c>
      <c r="H22" s="133">
        <v>125</v>
      </c>
      <c r="I22" s="133">
        <f>ROUND(2.45/0.125+1,0)</f>
        <v>21</v>
      </c>
      <c r="J22" s="133">
        <v>3.6</v>
      </c>
      <c r="K22" s="133">
        <f t="shared" si="0"/>
        <v>75.600000000000009</v>
      </c>
      <c r="L22" s="135">
        <f t="shared" si="2"/>
        <v>0.61652281134401976</v>
      </c>
      <c r="M22" s="152">
        <f t="shared" si="3"/>
        <v>139.82737361282369</v>
      </c>
      <c r="P22" s="227"/>
    </row>
    <row r="23" spans="1:16">
      <c r="A23" s="241">
        <v>6</v>
      </c>
      <c r="B23" s="240" t="s">
        <v>15</v>
      </c>
      <c r="C23" s="5">
        <v>1</v>
      </c>
      <c r="D23" s="241" t="s">
        <v>427</v>
      </c>
      <c r="E23" s="133" t="s">
        <v>428</v>
      </c>
      <c r="F23" s="133" t="s">
        <v>437</v>
      </c>
      <c r="G23" s="133">
        <v>10</v>
      </c>
      <c r="H23" s="133">
        <v>125</v>
      </c>
      <c r="I23" s="133">
        <f>ROUND(3.1/0.125+1,0)</f>
        <v>26</v>
      </c>
      <c r="J23" s="133">
        <v>2.5499999999999998</v>
      </c>
      <c r="K23" s="133">
        <f t="shared" si="0"/>
        <v>66.3</v>
      </c>
      <c r="L23" s="135">
        <f t="shared" si="2"/>
        <v>0.61652281134401976</v>
      </c>
      <c r="M23" s="152">
        <f t="shared" si="3"/>
        <v>40.87546239210851</v>
      </c>
      <c r="P23" s="227"/>
    </row>
    <row r="24" spans="1:16">
      <c r="A24" s="241"/>
      <c r="B24" s="240"/>
      <c r="C24" s="5">
        <v>1</v>
      </c>
      <c r="D24" s="241"/>
      <c r="E24" s="133" t="s">
        <v>430</v>
      </c>
      <c r="F24" s="133"/>
      <c r="G24" s="133">
        <v>10</v>
      </c>
      <c r="H24" s="133">
        <v>125</v>
      </c>
      <c r="I24" s="133">
        <f>ROUND(1.9/0.125+1,0)</f>
        <v>16</v>
      </c>
      <c r="J24" s="133">
        <v>3.75</v>
      </c>
      <c r="K24" s="133">
        <f t="shared" si="0"/>
        <v>60</v>
      </c>
      <c r="L24" s="135">
        <f t="shared" si="2"/>
        <v>0.61652281134401976</v>
      </c>
      <c r="M24" s="152">
        <f t="shared" si="3"/>
        <v>36.991368680641187</v>
      </c>
      <c r="P24" s="227"/>
    </row>
    <row r="25" spans="1:16">
      <c r="A25" s="241"/>
      <c r="B25" s="240"/>
      <c r="C25" s="5">
        <v>1</v>
      </c>
      <c r="D25" s="241" t="s">
        <v>431</v>
      </c>
      <c r="E25" s="133" t="s">
        <v>428</v>
      </c>
      <c r="F25" s="133" t="s">
        <v>437</v>
      </c>
      <c r="G25" s="133">
        <v>10</v>
      </c>
      <c r="H25" s="133">
        <v>125</v>
      </c>
      <c r="I25" s="133">
        <f>ROUND(3.1/0.125+1,0)</f>
        <v>26</v>
      </c>
      <c r="J25" s="133">
        <v>2.5499999999999998</v>
      </c>
      <c r="K25" s="133">
        <f t="shared" si="0"/>
        <v>66.3</v>
      </c>
      <c r="L25" s="135">
        <f t="shared" si="2"/>
        <v>0.61652281134401976</v>
      </c>
      <c r="M25" s="152">
        <f t="shared" si="3"/>
        <v>40.87546239210851</v>
      </c>
      <c r="P25" s="227"/>
    </row>
    <row r="26" spans="1:16">
      <c r="A26" s="241"/>
      <c r="B26" s="240"/>
      <c r="C26" s="5">
        <v>1</v>
      </c>
      <c r="D26" s="241"/>
      <c r="E26" s="133" t="s">
        <v>430</v>
      </c>
      <c r="F26" s="133"/>
      <c r="G26" s="133">
        <v>10</v>
      </c>
      <c r="H26" s="133">
        <v>125</v>
      </c>
      <c r="I26" s="133">
        <f>ROUND(1.9/0.125+1,0)</f>
        <v>16</v>
      </c>
      <c r="J26" s="133">
        <v>3.75</v>
      </c>
      <c r="K26" s="133">
        <f t="shared" si="0"/>
        <v>60</v>
      </c>
      <c r="L26" s="135">
        <f t="shared" si="2"/>
        <v>0.61652281134401976</v>
      </c>
      <c r="M26" s="152">
        <f t="shared" si="3"/>
        <v>36.991368680641187</v>
      </c>
      <c r="P26" s="227"/>
    </row>
    <row r="27" spans="1:16">
      <c r="A27" s="133">
        <v>7</v>
      </c>
      <c r="B27" s="5" t="s">
        <v>438</v>
      </c>
      <c r="C27" s="5">
        <v>1</v>
      </c>
      <c r="D27" s="133"/>
      <c r="E27" s="133"/>
      <c r="F27" s="133"/>
      <c r="G27" s="133">
        <v>10</v>
      </c>
      <c r="H27" s="133"/>
      <c r="I27" s="133">
        <f>24*14</f>
        <v>336</v>
      </c>
      <c r="J27" s="133">
        <v>0.37</v>
      </c>
      <c r="K27" s="133">
        <f t="shared" si="0"/>
        <v>124.32</v>
      </c>
      <c r="L27" s="135">
        <f t="shared" si="2"/>
        <v>0.61652281134401976</v>
      </c>
      <c r="M27" s="152">
        <f t="shared" si="3"/>
        <v>76.646115906288529</v>
      </c>
      <c r="P27" s="8"/>
    </row>
    <row r="28" spans="1:16">
      <c r="A28" s="241">
        <v>8</v>
      </c>
      <c r="B28" s="240" t="s">
        <v>18</v>
      </c>
      <c r="C28" s="5">
        <v>1</v>
      </c>
      <c r="D28" s="241" t="s">
        <v>427</v>
      </c>
      <c r="E28" s="133" t="s">
        <v>428</v>
      </c>
      <c r="F28" s="133" t="s">
        <v>439</v>
      </c>
      <c r="G28" s="133">
        <v>12</v>
      </c>
      <c r="H28" s="133">
        <v>100</v>
      </c>
      <c r="I28" s="133">
        <f>ROUND(26.9/0.1+1,0)</f>
        <v>270</v>
      </c>
      <c r="J28" s="133">
        <v>4.8</v>
      </c>
      <c r="K28" s="133">
        <f t="shared" si="0"/>
        <v>1296</v>
      </c>
      <c r="L28" s="135">
        <f t="shared" si="2"/>
        <v>0.88779284833538852</v>
      </c>
      <c r="M28" s="152">
        <f t="shared" si="3"/>
        <v>1150.5795314426634</v>
      </c>
      <c r="P28" s="227"/>
    </row>
    <row r="29" spans="1:16">
      <c r="A29" s="241"/>
      <c r="B29" s="240"/>
      <c r="C29" s="5">
        <v>1</v>
      </c>
      <c r="D29" s="241"/>
      <c r="E29" s="133" t="s">
        <v>430</v>
      </c>
      <c r="F29" s="133"/>
      <c r="G29" s="133">
        <v>12</v>
      </c>
      <c r="H29" s="133">
        <v>100</v>
      </c>
      <c r="I29" s="133">
        <f>ROUND(4/0.1+1,0)</f>
        <v>41</v>
      </c>
      <c r="J29" s="133">
        <v>29.5</v>
      </c>
      <c r="K29" s="133">
        <f t="shared" si="0"/>
        <v>1209.5</v>
      </c>
      <c r="L29" s="135">
        <f t="shared" si="2"/>
        <v>0.88779284833538852</v>
      </c>
      <c r="M29" s="152">
        <f t="shared" si="3"/>
        <v>1073.7854500616525</v>
      </c>
      <c r="P29" s="227"/>
    </row>
    <row r="30" spans="1:16">
      <c r="A30" s="241"/>
      <c r="B30" s="240"/>
      <c r="C30" s="5">
        <v>1</v>
      </c>
      <c r="D30" s="241" t="s">
        <v>431</v>
      </c>
      <c r="E30" s="133" t="s">
        <v>428</v>
      </c>
      <c r="F30" s="133" t="s">
        <v>439</v>
      </c>
      <c r="G30" s="133">
        <v>12</v>
      </c>
      <c r="H30" s="133">
        <v>100</v>
      </c>
      <c r="I30" s="133">
        <f>ROUND(26.9/0.1+1,0)</f>
        <v>270</v>
      </c>
      <c r="J30" s="133">
        <v>4.8</v>
      </c>
      <c r="K30" s="133">
        <f t="shared" si="0"/>
        <v>1296</v>
      </c>
      <c r="L30" s="135">
        <f t="shared" si="2"/>
        <v>0.88779284833538852</v>
      </c>
      <c r="M30" s="152">
        <f t="shared" si="3"/>
        <v>1150.5795314426634</v>
      </c>
      <c r="P30" s="227"/>
    </row>
    <row r="31" spans="1:16">
      <c r="A31" s="241"/>
      <c r="B31" s="240"/>
      <c r="C31" s="5">
        <v>1</v>
      </c>
      <c r="D31" s="241"/>
      <c r="E31" s="133" t="s">
        <v>430</v>
      </c>
      <c r="F31" s="133"/>
      <c r="G31" s="133">
        <v>12</v>
      </c>
      <c r="H31" s="133">
        <v>100</v>
      </c>
      <c r="I31" s="133">
        <f>ROUND(4/0.1+1,0)</f>
        <v>41</v>
      </c>
      <c r="J31" s="133">
        <v>29.5</v>
      </c>
      <c r="K31" s="133">
        <f t="shared" si="0"/>
        <v>1209.5</v>
      </c>
      <c r="L31" s="135">
        <f t="shared" si="2"/>
        <v>0.88779284833538852</v>
      </c>
      <c r="M31" s="152">
        <f t="shared" si="3"/>
        <v>1073.7854500616525</v>
      </c>
      <c r="P31" s="227"/>
    </row>
    <row r="32" spans="1:16">
      <c r="A32" s="133">
        <v>9</v>
      </c>
      <c r="B32" s="5" t="s">
        <v>440</v>
      </c>
      <c r="C32" s="5">
        <v>1</v>
      </c>
      <c r="D32" s="133"/>
      <c r="E32" s="133"/>
      <c r="F32" s="133"/>
      <c r="G32" s="133">
        <v>12</v>
      </c>
      <c r="H32" s="133"/>
      <c r="I32" s="133">
        <v>79</v>
      </c>
      <c r="J32" s="133">
        <v>2.6</v>
      </c>
      <c r="K32" s="133">
        <f t="shared" si="0"/>
        <v>205.4</v>
      </c>
      <c r="L32" s="135">
        <f t="shared" si="2"/>
        <v>0.88779284833538852</v>
      </c>
      <c r="M32" s="152">
        <f t="shared" si="3"/>
        <v>182.3526510480888</v>
      </c>
      <c r="P32" s="8"/>
    </row>
    <row r="33" spans="1:13" ht="23.4" customHeight="1">
      <c r="A33" s="233" t="s">
        <v>441</v>
      </c>
      <c r="B33" s="233"/>
      <c r="C33" s="233"/>
      <c r="D33" s="233"/>
      <c r="E33" s="233"/>
      <c r="F33" s="233"/>
      <c r="G33" s="233"/>
      <c r="H33" s="233"/>
      <c r="I33" s="233"/>
      <c r="J33" s="233"/>
      <c r="K33" s="133"/>
      <c r="L33" s="135"/>
      <c r="M33" s="152"/>
    </row>
    <row r="34" spans="1:13">
      <c r="A34" s="240">
        <v>1</v>
      </c>
      <c r="B34" s="136" t="s">
        <v>35</v>
      </c>
      <c r="C34" s="5"/>
      <c r="D34" s="5"/>
      <c r="E34" s="5"/>
      <c r="F34" s="230" t="s">
        <v>442</v>
      </c>
      <c r="G34" s="5"/>
      <c r="H34" s="5"/>
      <c r="I34" s="5"/>
      <c r="J34" s="5"/>
      <c r="K34" s="133"/>
      <c r="L34" s="135"/>
      <c r="M34" s="152"/>
    </row>
    <row r="35" spans="1:13">
      <c r="A35" s="240"/>
      <c r="B35" s="137" t="s">
        <v>21</v>
      </c>
      <c r="C35" s="5">
        <v>4</v>
      </c>
      <c r="D35" s="5"/>
      <c r="E35" s="5"/>
      <c r="F35" s="231"/>
      <c r="G35" s="5">
        <v>25</v>
      </c>
      <c r="H35" s="5"/>
      <c r="I35" s="5">
        <v>14</v>
      </c>
      <c r="J35" s="5">
        <v>3.68</v>
      </c>
      <c r="K35" s="133">
        <f t="shared" si="0"/>
        <v>51.52</v>
      </c>
      <c r="L35" s="135">
        <f t="shared" si="2"/>
        <v>3.8532675709001234</v>
      </c>
      <c r="M35" s="152">
        <f t="shared" si="3"/>
        <v>794.08138101109751</v>
      </c>
    </row>
    <row r="36" spans="1:13">
      <c r="A36" s="240"/>
      <c r="B36" s="137" t="s">
        <v>21</v>
      </c>
      <c r="C36" s="5">
        <v>4</v>
      </c>
      <c r="D36" s="5"/>
      <c r="E36" s="5"/>
      <c r="F36" s="232"/>
      <c r="G36" s="5">
        <v>20</v>
      </c>
      <c r="H36" s="5"/>
      <c r="I36" s="5">
        <v>10</v>
      </c>
      <c r="J36" s="5">
        <v>3.68</v>
      </c>
      <c r="K36" s="133">
        <f t="shared" si="0"/>
        <v>36.800000000000004</v>
      </c>
      <c r="L36" s="135">
        <f t="shared" si="2"/>
        <v>2.466091245376079</v>
      </c>
      <c r="M36" s="152">
        <f t="shared" si="3"/>
        <v>363.00863131935887</v>
      </c>
    </row>
    <row r="37" spans="1:13">
      <c r="A37" s="240">
        <v>2</v>
      </c>
      <c r="B37" s="32" t="s">
        <v>36</v>
      </c>
      <c r="C37" s="5"/>
      <c r="D37" s="5"/>
      <c r="E37" s="5"/>
      <c r="F37" s="240" t="s">
        <v>443</v>
      </c>
      <c r="G37" s="5"/>
      <c r="H37" s="5"/>
      <c r="I37" s="5"/>
      <c r="J37" s="5"/>
      <c r="K37" s="133"/>
      <c r="L37" s="135"/>
      <c r="M37" s="152"/>
    </row>
    <row r="38" spans="1:13">
      <c r="A38" s="240"/>
      <c r="B38" s="137" t="s">
        <v>21</v>
      </c>
      <c r="C38" s="5">
        <v>2</v>
      </c>
      <c r="D38" s="5"/>
      <c r="E38" s="5"/>
      <c r="F38" s="240"/>
      <c r="G38" s="5">
        <v>16</v>
      </c>
      <c r="H38" s="5"/>
      <c r="I38" s="5">
        <v>8</v>
      </c>
      <c r="J38" s="5">
        <v>2.78</v>
      </c>
      <c r="K38" s="133">
        <f t="shared" si="0"/>
        <v>22.24</v>
      </c>
      <c r="L38" s="135">
        <f t="shared" si="2"/>
        <v>1.5782983970406905</v>
      </c>
      <c r="M38" s="152">
        <f t="shared" si="3"/>
        <v>70.202712700369915</v>
      </c>
    </row>
    <row r="39" spans="1:13">
      <c r="A39" s="240"/>
      <c r="B39" s="137" t="s">
        <v>21</v>
      </c>
      <c r="C39" s="5">
        <v>2</v>
      </c>
      <c r="D39" s="5"/>
      <c r="E39" s="5"/>
      <c r="F39" s="240"/>
      <c r="G39" s="5">
        <v>12</v>
      </c>
      <c r="H39" s="5"/>
      <c r="I39" s="5">
        <v>8</v>
      </c>
      <c r="J39" s="5">
        <v>2.78</v>
      </c>
      <c r="K39" s="133">
        <f t="shared" si="0"/>
        <v>22.24</v>
      </c>
      <c r="L39" s="135">
        <f t="shared" si="2"/>
        <v>0.88779284833538852</v>
      </c>
      <c r="M39" s="152">
        <f t="shared" si="3"/>
        <v>39.489025893958079</v>
      </c>
    </row>
    <row r="40" spans="1:13">
      <c r="A40" s="240">
        <v>3</v>
      </c>
      <c r="B40" s="32" t="s">
        <v>37</v>
      </c>
      <c r="C40" s="5"/>
      <c r="D40" s="5"/>
      <c r="E40" s="5"/>
      <c r="F40" s="240" t="s">
        <v>444</v>
      </c>
      <c r="H40" s="5"/>
      <c r="I40" s="5"/>
      <c r="J40" s="5"/>
      <c r="K40" s="133"/>
      <c r="L40" s="135"/>
      <c r="M40" s="152"/>
    </row>
    <row r="41" spans="1:13">
      <c r="A41" s="240"/>
      <c r="B41" s="137" t="s">
        <v>21</v>
      </c>
      <c r="C41" s="5">
        <v>2</v>
      </c>
      <c r="D41" s="5"/>
      <c r="E41" s="5"/>
      <c r="F41" s="240"/>
      <c r="G41" s="5">
        <v>20</v>
      </c>
      <c r="H41" s="5"/>
      <c r="I41" s="5">
        <v>4</v>
      </c>
      <c r="J41" s="5">
        <v>2.78</v>
      </c>
      <c r="K41" s="133">
        <f t="shared" si="0"/>
        <v>11.12</v>
      </c>
      <c r="L41" s="135">
        <f t="shared" si="2"/>
        <v>2.466091245376079</v>
      </c>
      <c r="M41" s="152">
        <f t="shared" si="3"/>
        <v>54.845869297163993</v>
      </c>
    </row>
    <row r="42" spans="1:13">
      <c r="A42" s="240"/>
      <c r="B42" s="137" t="s">
        <v>21</v>
      </c>
      <c r="C42" s="5">
        <v>2</v>
      </c>
      <c r="D42" s="5"/>
      <c r="E42" s="5"/>
      <c r="F42" s="240"/>
      <c r="G42" s="5">
        <v>16</v>
      </c>
      <c r="H42" s="5"/>
      <c r="I42" s="5">
        <v>16</v>
      </c>
      <c r="J42" s="5">
        <v>2.78</v>
      </c>
      <c r="K42" s="133">
        <f t="shared" si="0"/>
        <v>44.48</v>
      </c>
      <c r="L42" s="135">
        <f t="shared" si="2"/>
        <v>1.5782983970406905</v>
      </c>
      <c r="M42" s="152">
        <f t="shared" si="3"/>
        <v>140.40542540073983</v>
      </c>
    </row>
    <row r="43" spans="1:13">
      <c r="A43" s="240">
        <v>4</v>
      </c>
      <c r="B43" s="32" t="s">
        <v>38</v>
      </c>
      <c r="C43" s="5"/>
      <c r="D43" s="5"/>
      <c r="E43" s="5"/>
      <c r="F43" s="240" t="s">
        <v>445</v>
      </c>
      <c r="G43" s="5"/>
      <c r="H43" s="5"/>
      <c r="I43" s="5"/>
      <c r="J43" s="5"/>
      <c r="K43" s="133"/>
      <c r="L43" s="135"/>
      <c r="M43" s="152"/>
    </row>
    <row r="44" spans="1:13">
      <c r="A44" s="240"/>
      <c r="B44" s="137" t="s">
        <v>21</v>
      </c>
      <c r="C44" s="5">
        <v>2</v>
      </c>
      <c r="D44" s="5"/>
      <c r="E44" s="5"/>
      <c r="F44" s="240"/>
      <c r="G44" s="5">
        <v>20</v>
      </c>
      <c r="H44" s="5"/>
      <c r="I44" s="5">
        <v>4</v>
      </c>
      <c r="J44" s="5">
        <v>2.78</v>
      </c>
      <c r="K44" s="133">
        <f t="shared" si="0"/>
        <v>11.12</v>
      </c>
      <c r="L44" s="135">
        <f t="shared" si="2"/>
        <v>2.466091245376079</v>
      </c>
      <c r="M44" s="152">
        <f t="shared" si="3"/>
        <v>54.845869297163993</v>
      </c>
    </row>
    <row r="45" spans="1:13">
      <c r="A45" s="240"/>
      <c r="B45" s="137" t="s">
        <v>21</v>
      </c>
      <c r="C45" s="5">
        <v>2</v>
      </c>
      <c r="D45" s="5"/>
      <c r="E45" s="5"/>
      <c r="F45" s="240"/>
      <c r="G45" s="5">
        <v>16</v>
      </c>
      <c r="H45" s="5"/>
      <c r="I45" s="5">
        <v>24</v>
      </c>
      <c r="J45" s="5">
        <v>2.78</v>
      </c>
      <c r="K45" s="133">
        <f t="shared" si="0"/>
        <v>66.72</v>
      </c>
      <c r="L45" s="135">
        <f t="shared" si="2"/>
        <v>1.5782983970406905</v>
      </c>
      <c r="M45" s="152">
        <f t="shared" si="3"/>
        <v>210.60813810110974</v>
      </c>
    </row>
    <row r="46" spans="1:13">
      <c r="A46" s="240">
        <v>5</v>
      </c>
      <c r="B46" s="32" t="s">
        <v>39</v>
      </c>
      <c r="C46" s="5"/>
      <c r="D46" s="5"/>
      <c r="E46" s="5"/>
      <c r="F46" s="240" t="s">
        <v>445</v>
      </c>
      <c r="G46" s="5"/>
      <c r="H46" s="5"/>
      <c r="I46" s="5"/>
      <c r="J46" s="5"/>
      <c r="K46" s="133"/>
      <c r="L46" s="135"/>
      <c r="M46" s="152"/>
    </row>
    <row r="47" spans="1:13">
      <c r="A47" s="240"/>
      <c r="B47" s="137" t="s">
        <v>21</v>
      </c>
      <c r="C47" s="5">
        <v>2</v>
      </c>
      <c r="D47" s="5"/>
      <c r="E47" s="5"/>
      <c r="F47" s="240"/>
      <c r="G47" s="5">
        <v>20</v>
      </c>
      <c r="H47" s="5"/>
      <c r="I47" s="5">
        <v>4</v>
      </c>
      <c r="J47" s="5">
        <v>2.78</v>
      </c>
      <c r="K47" s="133">
        <f t="shared" si="0"/>
        <v>11.12</v>
      </c>
      <c r="L47" s="135">
        <f t="shared" si="2"/>
        <v>2.466091245376079</v>
      </c>
      <c r="M47" s="152">
        <f t="shared" si="3"/>
        <v>54.845869297163993</v>
      </c>
    </row>
    <row r="48" spans="1:13">
      <c r="A48" s="240"/>
      <c r="B48" s="137" t="s">
        <v>21</v>
      </c>
      <c r="C48" s="5">
        <v>2</v>
      </c>
      <c r="D48" s="5"/>
      <c r="E48" s="5"/>
      <c r="F48" s="240"/>
      <c r="G48" s="5">
        <v>16</v>
      </c>
      <c r="H48" s="5"/>
      <c r="I48" s="5">
        <v>24</v>
      </c>
      <c r="J48" s="5">
        <v>2.78</v>
      </c>
      <c r="K48" s="133">
        <f t="shared" si="0"/>
        <v>66.72</v>
      </c>
      <c r="L48" s="135">
        <f t="shared" si="2"/>
        <v>1.5782983970406905</v>
      </c>
      <c r="M48" s="152">
        <f t="shared" si="3"/>
        <v>210.60813810110974</v>
      </c>
    </row>
    <row r="49" spans="1:13">
      <c r="A49" s="240">
        <v>6</v>
      </c>
      <c r="B49" s="32" t="s">
        <v>40</v>
      </c>
      <c r="C49" s="5"/>
      <c r="D49" s="5"/>
      <c r="E49" s="5"/>
      <c r="F49" s="240" t="s">
        <v>443</v>
      </c>
      <c r="G49" s="5"/>
      <c r="H49" s="5"/>
      <c r="I49" s="5"/>
      <c r="J49" s="5"/>
      <c r="K49" s="133"/>
      <c r="L49" s="135"/>
      <c r="M49" s="152"/>
    </row>
    <row r="50" spans="1:13">
      <c r="A50" s="240"/>
      <c r="B50" s="137" t="s">
        <v>21</v>
      </c>
      <c r="C50" s="5">
        <v>2</v>
      </c>
      <c r="D50" s="5"/>
      <c r="E50" s="5"/>
      <c r="F50" s="240"/>
      <c r="G50" s="5">
        <v>16</v>
      </c>
      <c r="H50" s="5"/>
      <c r="I50" s="5">
        <v>16</v>
      </c>
      <c r="J50" s="5">
        <v>3.58</v>
      </c>
      <c r="K50" s="133">
        <f t="shared" si="0"/>
        <v>57.28</v>
      </c>
      <c r="L50" s="135">
        <f t="shared" si="2"/>
        <v>1.5782983970406905</v>
      </c>
      <c r="M50" s="152">
        <f t="shared" si="3"/>
        <v>180.80986436498151</v>
      </c>
    </row>
    <row r="51" spans="1:13">
      <c r="A51" s="240">
        <v>7</v>
      </c>
      <c r="B51" s="32" t="s">
        <v>41</v>
      </c>
      <c r="C51" s="5"/>
      <c r="D51" s="5"/>
      <c r="E51" s="5"/>
      <c r="F51" s="240" t="s">
        <v>446</v>
      </c>
      <c r="G51" s="5"/>
      <c r="H51" s="5"/>
      <c r="I51" s="5"/>
      <c r="J51" s="5"/>
      <c r="K51" s="133"/>
      <c r="L51" s="135"/>
      <c r="M51" s="152"/>
    </row>
    <row r="52" spans="1:13">
      <c r="A52" s="240"/>
      <c r="B52" s="137" t="s">
        <v>21</v>
      </c>
      <c r="C52" s="5">
        <v>5</v>
      </c>
      <c r="D52" s="5"/>
      <c r="E52" s="5"/>
      <c r="F52" s="240"/>
      <c r="G52" s="5">
        <v>25</v>
      </c>
      <c r="H52" s="5"/>
      <c r="I52" s="5">
        <v>20</v>
      </c>
      <c r="J52" s="5">
        <v>3.68</v>
      </c>
      <c r="K52" s="133">
        <f t="shared" si="0"/>
        <v>73.600000000000009</v>
      </c>
      <c r="L52" s="135">
        <f t="shared" si="2"/>
        <v>3.8532675709001234</v>
      </c>
      <c r="M52" s="152">
        <f t="shared" si="3"/>
        <v>1418.0024660912457</v>
      </c>
    </row>
    <row r="53" spans="1:13">
      <c r="A53" s="240"/>
      <c r="B53" s="137" t="s">
        <v>21</v>
      </c>
      <c r="C53" s="5">
        <v>5</v>
      </c>
      <c r="D53" s="5"/>
      <c r="E53" s="5"/>
      <c r="F53" s="240"/>
      <c r="G53" s="5">
        <v>20</v>
      </c>
      <c r="H53" s="5"/>
      <c r="I53" s="5">
        <v>8</v>
      </c>
      <c r="J53" s="5">
        <v>3.68</v>
      </c>
      <c r="K53" s="133">
        <f t="shared" si="0"/>
        <v>29.44</v>
      </c>
      <c r="L53" s="135">
        <f t="shared" si="2"/>
        <v>2.466091245376079</v>
      </c>
      <c r="M53" s="152">
        <f t="shared" si="3"/>
        <v>363.00863131935887</v>
      </c>
    </row>
    <row r="54" spans="1:13" ht="12.65" customHeight="1">
      <c r="A54" s="240">
        <v>8</v>
      </c>
      <c r="B54" s="32" t="s">
        <v>42</v>
      </c>
      <c r="C54" s="5"/>
      <c r="D54" s="5"/>
      <c r="E54" s="5"/>
      <c r="F54" s="240" t="s">
        <v>447</v>
      </c>
      <c r="G54" s="5"/>
      <c r="H54" s="5"/>
      <c r="I54" s="5"/>
      <c r="J54" s="5"/>
      <c r="K54" s="133"/>
      <c r="L54" s="135"/>
      <c r="M54" s="152"/>
    </row>
    <row r="55" spans="1:13" ht="12.65" customHeight="1">
      <c r="A55" s="240"/>
      <c r="B55" s="137" t="s">
        <v>21</v>
      </c>
      <c r="C55" s="5">
        <v>1</v>
      </c>
      <c r="D55" s="5"/>
      <c r="E55" s="5"/>
      <c r="F55" s="240"/>
      <c r="G55" s="5">
        <v>16</v>
      </c>
      <c r="H55" s="5"/>
      <c r="I55" s="5">
        <v>4</v>
      </c>
      <c r="J55" s="5">
        <v>2.78</v>
      </c>
      <c r="K55" s="133">
        <f t="shared" si="0"/>
        <v>11.12</v>
      </c>
      <c r="L55" s="135">
        <f t="shared" si="2"/>
        <v>1.5782983970406905</v>
      </c>
      <c r="M55" s="152">
        <f t="shared" si="3"/>
        <v>17.550678175092479</v>
      </c>
    </row>
    <row r="56" spans="1:13">
      <c r="A56" s="240"/>
      <c r="B56" s="137" t="s">
        <v>21</v>
      </c>
      <c r="C56" s="5">
        <v>1</v>
      </c>
      <c r="D56" s="5"/>
      <c r="E56" s="5"/>
      <c r="F56" s="240"/>
      <c r="G56" s="5">
        <v>12</v>
      </c>
      <c r="H56" s="5"/>
      <c r="I56" s="5">
        <v>8</v>
      </c>
      <c r="J56" s="5">
        <v>2.78</v>
      </c>
      <c r="K56" s="133">
        <f t="shared" si="0"/>
        <v>22.24</v>
      </c>
      <c r="L56" s="135">
        <f t="shared" si="2"/>
        <v>0.88779284833538852</v>
      </c>
      <c r="M56" s="152">
        <f t="shared" si="3"/>
        <v>19.744512946979039</v>
      </c>
    </row>
    <row r="57" spans="1:13">
      <c r="A57" s="240">
        <v>9</v>
      </c>
      <c r="B57" s="32" t="s">
        <v>45</v>
      </c>
      <c r="C57" s="5"/>
      <c r="D57" s="5"/>
      <c r="E57" s="5"/>
      <c r="F57" s="240" t="s">
        <v>447</v>
      </c>
      <c r="G57" s="5"/>
      <c r="H57" s="5"/>
      <c r="I57" s="5"/>
      <c r="J57" s="5"/>
      <c r="K57" s="133"/>
      <c r="L57" s="135"/>
      <c r="M57" s="152"/>
    </row>
    <row r="58" spans="1:13">
      <c r="A58" s="240"/>
      <c r="B58" s="137" t="s">
        <v>21</v>
      </c>
      <c r="C58" s="5">
        <v>2</v>
      </c>
      <c r="D58" s="5"/>
      <c r="E58" s="5"/>
      <c r="F58" s="240"/>
      <c r="G58" s="5">
        <v>20</v>
      </c>
      <c r="H58" s="5"/>
      <c r="I58" s="5">
        <v>4</v>
      </c>
      <c r="J58" s="5">
        <v>2.78</v>
      </c>
      <c r="K58" s="133">
        <f t="shared" si="0"/>
        <v>11.12</v>
      </c>
      <c r="L58" s="135">
        <f t="shared" si="2"/>
        <v>2.466091245376079</v>
      </c>
      <c r="M58" s="152">
        <f t="shared" si="3"/>
        <v>54.845869297163993</v>
      </c>
    </row>
    <row r="59" spans="1:13">
      <c r="A59" s="240"/>
      <c r="B59" s="137" t="s">
        <v>21</v>
      </c>
      <c r="C59" s="5">
        <v>2</v>
      </c>
      <c r="D59" s="5"/>
      <c r="E59" s="5"/>
      <c r="F59" s="240"/>
      <c r="G59" s="5">
        <v>16</v>
      </c>
      <c r="H59" s="5"/>
      <c r="I59" s="5">
        <v>16</v>
      </c>
      <c r="J59" s="5">
        <v>2.78</v>
      </c>
      <c r="K59" s="133">
        <f t="shared" si="0"/>
        <v>44.48</v>
      </c>
      <c r="L59" s="135">
        <f t="shared" si="2"/>
        <v>1.5782983970406905</v>
      </c>
      <c r="M59" s="152">
        <f t="shared" si="3"/>
        <v>140.40542540073983</v>
      </c>
    </row>
    <row r="60" spans="1:13">
      <c r="A60" s="240">
        <v>10</v>
      </c>
      <c r="B60" s="32" t="s">
        <v>45</v>
      </c>
      <c r="C60" s="5"/>
      <c r="D60" s="5"/>
      <c r="E60" s="5"/>
      <c r="F60" s="240" t="s">
        <v>447</v>
      </c>
      <c r="G60" s="5"/>
      <c r="H60" s="5"/>
      <c r="I60" s="5"/>
      <c r="J60" s="5"/>
      <c r="K60" s="133"/>
      <c r="L60" s="135"/>
      <c r="M60" s="152"/>
    </row>
    <row r="61" spans="1:13">
      <c r="A61" s="240"/>
      <c r="B61" s="137" t="s">
        <v>21</v>
      </c>
      <c r="C61" s="5">
        <v>2</v>
      </c>
      <c r="D61" s="5"/>
      <c r="E61" s="5"/>
      <c r="F61" s="240"/>
      <c r="G61" s="5">
        <v>20</v>
      </c>
      <c r="H61" s="5"/>
      <c r="I61" s="5">
        <v>4</v>
      </c>
      <c r="J61" s="5">
        <v>2.78</v>
      </c>
      <c r="K61" s="133">
        <f t="shared" si="0"/>
        <v>11.12</v>
      </c>
      <c r="L61" s="135">
        <f t="shared" si="2"/>
        <v>2.466091245376079</v>
      </c>
      <c r="M61" s="152">
        <f t="shared" si="3"/>
        <v>54.845869297163993</v>
      </c>
    </row>
    <row r="62" spans="1:13">
      <c r="A62" s="240"/>
      <c r="B62" s="137" t="s">
        <v>21</v>
      </c>
      <c r="C62" s="5">
        <v>2</v>
      </c>
      <c r="D62" s="5"/>
      <c r="E62" s="5"/>
      <c r="F62" s="240"/>
      <c r="G62" s="5">
        <v>16</v>
      </c>
      <c r="H62" s="5"/>
      <c r="I62" s="5">
        <v>4</v>
      </c>
      <c r="J62" s="5">
        <v>2.78</v>
      </c>
      <c r="K62" s="133">
        <f t="shared" si="0"/>
        <v>11.12</v>
      </c>
      <c r="L62" s="135">
        <f t="shared" si="2"/>
        <v>1.5782983970406905</v>
      </c>
      <c r="M62" s="152">
        <f t="shared" si="3"/>
        <v>35.101356350184957</v>
      </c>
    </row>
    <row r="63" spans="1:13">
      <c r="A63" s="230">
        <v>11</v>
      </c>
      <c r="B63" s="32" t="s">
        <v>401</v>
      </c>
      <c r="C63" s="5"/>
      <c r="D63" s="5"/>
      <c r="E63" s="5"/>
      <c r="F63" s="230" t="s">
        <v>448</v>
      </c>
      <c r="G63" s="5"/>
      <c r="H63" s="5"/>
      <c r="I63" s="5"/>
      <c r="J63" s="5"/>
      <c r="K63" s="133"/>
      <c r="L63" s="135"/>
      <c r="M63" s="152"/>
    </row>
    <row r="64" spans="1:13">
      <c r="A64" s="231"/>
      <c r="B64" s="137" t="s">
        <v>21</v>
      </c>
      <c r="C64" s="5">
        <v>1</v>
      </c>
      <c r="D64" s="5"/>
      <c r="E64" s="5"/>
      <c r="F64" s="231"/>
      <c r="G64" s="5">
        <v>25</v>
      </c>
      <c r="H64" s="5"/>
      <c r="I64" s="5">
        <v>20</v>
      </c>
      <c r="J64" s="5">
        <v>2.78</v>
      </c>
      <c r="K64" s="133">
        <f t="shared" si="0"/>
        <v>55.599999999999994</v>
      </c>
      <c r="L64" s="135">
        <f t="shared" si="2"/>
        <v>3.8532675709001234</v>
      </c>
      <c r="M64" s="152">
        <f t="shared" si="3"/>
        <v>214.24167694204684</v>
      </c>
    </row>
    <row r="65" spans="1:13">
      <c r="A65" s="231"/>
      <c r="B65" s="137" t="s">
        <v>21</v>
      </c>
      <c r="C65" s="5">
        <v>1</v>
      </c>
      <c r="D65" s="5"/>
      <c r="E65" s="5"/>
      <c r="F65" s="231"/>
      <c r="G65" s="5">
        <v>20</v>
      </c>
      <c r="H65" s="5"/>
      <c r="I65" s="5">
        <v>8</v>
      </c>
      <c r="J65" s="5">
        <v>2.78</v>
      </c>
      <c r="K65" s="133">
        <f t="shared" si="0"/>
        <v>22.24</v>
      </c>
      <c r="L65" s="135">
        <f t="shared" si="2"/>
        <v>2.466091245376079</v>
      </c>
      <c r="M65" s="152">
        <f t="shared" si="3"/>
        <v>54.845869297163993</v>
      </c>
    </row>
    <row r="66" spans="1:13">
      <c r="A66" s="231"/>
      <c r="B66" s="137" t="s">
        <v>21</v>
      </c>
      <c r="C66" s="5">
        <v>1</v>
      </c>
      <c r="D66" s="5"/>
      <c r="E66" s="5"/>
      <c r="F66" s="231"/>
      <c r="G66" s="5">
        <v>16</v>
      </c>
      <c r="H66" s="5"/>
      <c r="I66" s="5">
        <v>2</v>
      </c>
      <c r="J66" s="5">
        <v>2.78</v>
      </c>
      <c r="K66" s="133">
        <f t="shared" si="0"/>
        <v>5.56</v>
      </c>
      <c r="L66" s="135">
        <f t="shared" si="2"/>
        <v>1.5782983970406905</v>
      </c>
      <c r="M66" s="152">
        <f t="shared" si="3"/>
        <v>8.7753390875462394</v>
      </c>
    </row>
    <row r="67" spans="1:13">
      <c r="A67" s="232"/>
      <c r="B67" s="137" t="s">
        <v>21</v>
      </c>
      <c r="C67" s="5">
        <v>1</v>
      </c>
      <c r="D67" s="5"/>
      <c r="E67" s="5"/>
      <c r="F67" s="232"/>
      <c r="G67" s="5">
        <v>12</v>
      </c>
      <c r="H67" s="5"/>
      <c r="I67" s="5">
        <v>6</v>
      </c>
      <c r="J67" s="5">
        <v>2.78</v>
      </c>
      <c r="K67" s="133">
        <f t="shared" ref="K67" si="5">I67*J67</f>
        <v>16.68</v>
      </c>
      <c r="L67" s="135">
        <f t="shared" si="2"/>
        <v>0.88779284833538852</v>
      </c>
      <c r="M67" s="152">
        <f t="shared" si="3"/>
        <v>14.80838471023428</v>
      </c>
    </row>
    <row r="68" spans="1:13" ht="22.25" customHeight="1">
      <c r="A68" s="233" t="s">
        <v>449</v>
      </c>
      <c r="B68" s="233"/>
      <c r="C68" s="233"/>
      <c r="D68" s="233"/>
      <c r="E68" s="233"/>
      <c r="F68" s="233"/>
      <c r="G68" s="233"/>
      <c r="H68" s="233"/>
      <c r="I68" s="233"/>
      <c r="J68" s="233"/>
      <c r="K68" s="133"/>
      <c r="L68" s="135"/>
      <c r="M68" s="152"/>
    </row>
    <row r="69" spans="1:13">
      <c r="A69" s="230">
        <v>1</v>
      </c>
      <c r="B69" s="136" t="s">
        <v>35</v>
      </c>
      <c r="C69" s="5"/>
      <c r="D69" s="5"/>
      <c r="E69" s="5"/>
      <c r="F69" s="138"/>
      <c r="G69" s="5"/>
      <c r="H69" s="5"/>
      <c r="I69" s="5"/>
      <c r="J69" s="5"/>
      <c r="K69" s="133"/>
      <c r="L69" s="135"/>
      <c r="M69" s="152"/>
    </row>
    <row r="70" spans="1:13">
      <c r="A70" s="231"/>
      <c r="B70" s="137" t="s">
        <v>22</v>
      </c>
      <c r="C70" s="5">
        <v>4</v>
      </c>
      <c r="D70" s="5"/>
      <c r="E70" s="5"/>
      <c r="F70" s="230" t="s">
        <v>442</v>
      </c>
      <c r="G70" s="5">
        <v>8</v>
      </c>
      <c r="H70" s="5">
        <v>100</v>
      </c>
      <c r="I70" s="5">
        <f>ROUND(3.33/0.1+1,0)</f>
        <v>34</v>
      </c>
      <c r="J70" s="5">
        <v>2.63</v>
      </c>
      <c r="K70" s="133">
        <f t="shared" ref="K70:K131" si="6">I70*J70</f>
        <v>89.42</v>
      </c>
      <c r="L70" s="135">
        <f t="shared" ref="L70:L131" si="7">G70*G70/162.2</f>
        <v>0.39457459926017263</v>
      </c>
      <c r="M70" s="152">
        <f t="shared" ref="M70:M131" si="8">(K70*L70*C70)</f>
        <v>141.13144266337855</v>
      </c>
    </row>
    <row r="71" spans="1:13">
      <c r="A71" s="231"/>
      <c r="B71" s="137" t="s">
        <v>23</v>
      </c>
      <c r="C71" s="5">
        <v>4</v>
      </c>
      <c r="D71" s="5"/>
      <c r="E71" s="5"/>
      <c r="F71" s="231"/>
      <c r="G71" s="5">
        <v>8</v>
      </c>
      <c r="H71" s="5">
        <v>100</v>
      </c>
      <c r="I71" s="5">
        <f t="shared" ref="I71:I77" si="9">ROUND(3.33/0.1+1,0)</f>
        <v>34</v>
      </c>
      <c r="J71" s="20">
        <v>1.2</v>
      </c>
      <c r="K71" s="133">
        <f t="shared" si="6"/>
        <v>40.799999999999997</v>
      </c>
      <c r="L71" s="135">
        <f t="shared" si="7"/>
        <v>0.39457459926017263</v>
      </c>
      <c r="M71" s="152">
        <f t="shared" si="8"/>
        <v>64.394574599260167</v>
      </c>
    </row>
    <row r="72" spans="1:13">
      <c r="A72" s="231"/>
      <c r="B72" s="137" t="s">
        <v>24</v>
      </c>
      <c r="C72" s="5">
        <v>4</v>
      </c>
      <c r="D72" s="5"/>
      <c r="E72" s="5"/>
      <c r="F72" s="231"/>
      <c r="G72" s="5">
        <v>8</v>
      </c>
      <c r="H72" s="5">
        <v>100</v>
      </c>
      <c r="I72" s="5">
        <f t="shared" si="9"/>
        <v>34</v>
      </c>
      <c r="J72" s="20">
        <v>1.2</v>
      </c>
      <c r="K72" s="133">
        <f t="shared" si="6"/>
        <v>40.799999999999997</v>
      </c>
      <c r="L72" s="135">
        <f t="shared" si="7"/>
        <v>0.39457459926017263</v>
      </c>
      <c r="M72" s="152">
        <f t="shared" si="8"/>
        <v>64.394574599260167</v>
      </c>
    </row>
    <row r="73" spans="1:13">
      <c r="A73" s="231"/>
      <c r="B73" s="137" t="s">
        <v>25</v>
      </c>
      <c r="C73" s="5">
        <v>4</v>
      </c>
      <c r="D73" s="5"/>
      <c r="E73" s="5"/>
      <c r="F73" s="231"/>
      <c r="G73" s="5">
        <v>8</v>
      </c>
      <c r="H73" s="5">
        <v>100</v>
      </c>
      <c r="I73" s="5">
        <f t="shared" si="9"/>
        <v>34</v>
      </c>
      <c r="J73" s="5">
        <v>0.56999999999999995</v>
      </c>
      <c r="K73" s="133">
        <f t="shared" si="6"/>
        <v>19.38</v>
      </c>
      <c r="L73" s="135">
        <f t="shared" si="7"/>
        <v>0.39457459926017263</v>
      </c>
      <c r="M73" s="152">
        <f t="shared" si="8"/>
        <v>30.587422934648579</v>
      </c>
    </row>
    <row r="74" spans="1:13">
      <c r="A74" s="231"/>
      <c r="B74" s="137" t="s">
        <v>26</v>
      </c>
      <c r="C74" s="5">
        <v>4</v>
      </c>
      <c r="D74" s="5"/>
      <c r="E74" s="5"/>
      <c r="F74" s="231"/>
      <c r="G74" s="5">
        <v>8</v>
      </c>
      <c r="H74" s="5">
        <v>100</v>
      </c>
      <c r="I74" s="5">
        <f t="shared" si="9"/>
        <v>34</v>
      </c>
      <c r="J74" s="5">
        <v>0.56999999999999995</v>
      </c>
      <c r="K74" s="133">
        <f t="shared" si="6"/>
        <v>19.38</v>
      </c>
      <c r="L74" s="135">
        <f t="shared" si="7"/>
        <v>0.39457459926017263</v>
      </c>
      <c r="M74" s="152">
        <f t="shared" si="8"/>
        <v>30.587422934648579</v>
      </c>
    </row>
    <row r="75" spans="1:13">
      <c r="A75" s="231"/>
      <c r="B75" s="137" t="s">
        <v>27</v>
      </c>
      <c r="C75" s="5">
        <v>4</v>
      </c>
      <c r="D75" s="5"/>
      <c r="E75" s="5"/>
      <c r="F75" s="231"/>
      <c r="G75" s="5">
        <v>8</v>
      </c>
      <c r="H75" s="5">
        <v>100</v>
      </c>
      <c r="I75" s="5">
        <f t="shared" si="9"/>
        <v>34</v>
      </c>
      <c r="J75" s="5">
        <v>0.56999999999999995</v>
      </c>
      <c r="K75" s="133">
        <f t="shared" si="6"/>
        <v>19.38</v>
      </c>
      <c r="L75" s="135">
        <f t="shared" si="7"/>
        <v>0.39457459926017263</v>
      </c>
      <c r="M75" s="152">
        <f t="shared" si="8"/>
        <v>30.587422934648579</v>
      </c>
    </row>
    <row r="76" spans="1:13">
      <c r="A76" s="231"/>
      <c r="B76" s="137" t="s">
        <v>28</v>
      </c>
      <c r="C76" s="5">
        <v>4</v>
      </c>
      <c r="D76" s="5"/>
      <c r="E76" s="5"/>
      <c r="F76" s="231"/>
      <c r="G76" s="5">
        <v>8</v>
      </c>
      <c r="H76" s="5">
        <v>100</v>
      </c>
      <c r="I76" s="5">
        <f t="shared" si="9"/>
        <v>34</v>
      </c>
      <c r="J76" s="5">
        <v>0.97</v>
      </c>
      <c r="K76" s="133">
        <f t="shared" si="6"/>
        <v>32.979999999999997</v>
      </c>
      <c r="L76" s="135">
        <f t="shared" si="7"/>
        <v>0.39457459926017263</v>
      </c>
      <c r="M76" s="152">
        <f t="shared" si="8"/>
        <v>52.052281134401966</v>
      </c>
    </row>
    <row r="77" spans="1:13">
      <c r="A77" s="231"/>
      <c r="B77" s="137" t="s">
        <v>29</v>
      </c>
      <c r="C77" s="5">
        <v>4</v>
      </c>
      <c r="D77" s="5"/>
      <c r="E77" s="5"/>
      <c r="F77" s="232"/>
      <c r="G77" s="5">
        <v>8</v>
      </c>
      <c r="H77" s="5">
        <v>100</v>
      </c>
      <c r="I77" s="5">
        <f t="shared" si="9"/>
        <v>34</v>
      </c>
      <c r="J77" s="5">
        <v>0.97</v>
      </c>
      <c r="K77" s="133">
        <f t="shared" si="6"/>
        <v>32.979999999999997</v>
      </c>
      <c r="L77" s="135">
        <f t="shared" si="7"/>
        <v>0.39457459926017263</v>
      </c>
      <c r="M77" s="152">
        <f t="shared" si="8"/>
        <v>52.052281134401966</v>
      </c>
    </row>
    <row r="78" spans="1:13">
      <c r="A78" s="230">
        <v>2</v>
      </c>
      <c r="B78" s="136" t="s">
        <v>36</v>
      </c>
      <c r="C78" s="5"/>
      <c r="D78" s="5"/>
      <c r="E78" s="5"/>
      <c r="F78" s="5"/>
      <c r="G78" s="5"/>
      <c r="H78" s="5"/>
      <c r="I78" s="5"/>
      <c r="J78" s="5"/>
      <c r="K78" s="133"/>
      <c r="L78" s="135"/>
      <c r="M78" s="152"/>
    </row>
    <row r="79" spans="1:13">
      <c r="A79" s="231"/>
      <c r="B79" s="139" t="s">
        <v>22</v>
      </c>
      <c r="C79" s="5">
        <v>2</v>
      </c>
      <c r="D79" s="5"/>
      <c r="E79" s="5"/>
      <c r="F79" s="230" t="s">
        <v>443</v>
      </c>
      <c r="G79" s="5">
        <v>8</v>
      </c>
      <c r="H79" s="5">
        <v>100</v>
      </c>
      <c r="I79" s="5">
        <f>ROUND(2.48/0.1+1,0)</f>
        <v>26</v>
      </c>
      <c r="J79" s="5">
        <v>2.04</v>
      </c>
      <c r="K79" s="133">
        <f t="shared" si="6"/>
        <v>53.04</v>
      </c>
      <c r="L79" s="135">
        <f t="shared" si="7"/>
        <v>0.39457459926017263</v>
      </c>
      <c r="M79" s="152">
        <f t="shared" si="8"/>
        <v>41.856473489519111</v>
      </c>
    </row>
    <row r="80" spans="1:13">
      <c r="A80" s="231"/>
      <c r="B80" s="139" t="s">
        <v>23</v>
      </c>
      <c r="C80" s="5">
        <v>2</v>
      </c>
      <c r="D80" s="5"/>
      <c r="E80" s="5"/>
      <c r="F80" s="231"/>
      <c r="G80" s="5">
        <v>8</v>
      </c>
      <c r="H80" s="5">
        <v>100</v>
      </c>
      <c r="I80" s="5">
        <f t="shared" ref="I80:I83" si="10">ROUND(2.48/0.1+1,0)</f>
        <v>26</v>
      </c>
      <c r="J80" s="5">
        <v>1.34</v>
      </c>
      <c r="K80" s="133">
        <f t="shared" si="6"/>
        <v>34.840000000000003</v>
      </c>
      <c r="L80" s="135">
        <f t="shared" si="7"/>
        <v>0.39457459926017263</v>
      </c>
      <c r="M80" s="152">
        <f t="shared" si="8"/>
        <v>27.49395807644883</v>
      </c>
    </row>
    <row r="81" spans="1:13">
      <c r="A81" s="231"/>
      <c r="B81" s="139" t="s">
        <v>24</v>
      </c>
      <c r="C81" s="5">
        <v>2</v>
      </c>
      <c r="D81" s="5"/>
      <c r="E81" s="5"/>
      <c r="F81" s="231"/>
      <c r="G81" s="5">
        <v>8</v>
      </c>
      <c r="H81" s="5">
        <v>100</v>
      </c>
      <c r="I81" s="5">
        <f t="shared" si="10"/>
        <v>26</v>
      </c>
      <c r="J81" s="5">
        <v>1.34</v>
      </c>
      <c r="K81" s="133">
        <f t="shared" si="6"/>
        <v>34.840000000000003</v>
      </c>
      <c r="L81" s="135">
        <f t="shared" si="7"/>
        <v>0.39457459926017263</v>
      </c>
      <c r="M81" s="152">
        <f t="shared" si="8"/>
        <v>27.49395807644883</v>
      </c>
    </row>
    <row r="82" spans="1:13">
      <c r="A82" s="231"/>
      <c r="B82" s="139" t="s">
        <v>25</v>
      </c>
      <c r="C82" s="5">
        <v>2</v>
      </c>
      <c r="D82" s="5"/>
      <c r="E82" s="5"/>
      <c r="F82" s="231"/>
      <c r="G82" s="5">
        <v>8</v>
      </c>
      <c r="H82" s="5">
        <v>100</v>
      </c>
      <c r="I82" s="5">
        <f t="shared" si="10"/>
        <v>26</v>
      </c>
      <c r="J82" s="5">
        <v>0.63</v>
      </c>
      <c r="K82" s="133">
        <f t="shared" si="6"/>
        <v>16.38</v>
      </c>
      <c r="L82" s="135">
        <f t="shared" si="7"/>
        <v>0.39457459926017263</v>
      </c>
      <c r="M82" s="152">
        <f t="shared" si="8"/>
        <v>12.926263871763254</v>
      </c>
    </row>
    <row r="83" spans="1:13">
      <c r="A83" s="232"/>
      <c r="B83" s="139" t="s">
        <v>26</v>
      </c>
      <c r="C83" s="5">
        <v>2</v>
      </c>
      <c r="D83" s="5"/>
      <c r="E83" s="5"/>
      <c r="F83" s="232"/>
      <c r="G83" s="5">
        <v>8</v>
      </c>
      <c r="H83" s="5">
        <v>100</v>
      </c>
      <c r="I83" s="5">
        <f t="shared" si="10"/>
        <v>26</v>
      </c>
      <c r="J83" s="5">
        <v>0.63</v>
      </c>
      <c r="K83" s="133">
        <f t="shared" si="6"/>
        <v>16.38</v>
      </c>
      <c r="L83" s="135">
        <f t="shared" si="7"/>
        <v>0.39457459926017263</v>
      </c>
      <c r="M83" s="152">
        <f t="shared" si="8"/>
        <v>12.926263871763254</v>
      </c>
    </row>
    <row r="84" spans="1:13">
      <c r="A84" s="230">
        <v>3</v>
      </c>
      <c r="B84" s="136" t="s">
        <v>37</v>
      </c>
      <c r="C84" s="5"/>
      <c r="D84" s="5"/>
      <c r="E84" s="5"/>
      <c r="F84" s="230" t="s">
        <v>444</v>
      </c>
      <c r="G84" s="5"/>
      <c r="H84" s="5"/>
      <c r="I84" s="5"/>
      <c r="J84" s="5"/>
      <c r="K84" s="133"/>
      <c r="L84" s="135"/>
      <c r="M84" s="152"/>
    </row>
    <row r="85" spans="1:13">
      <c r="A85" s="231"/>
      <c r="B85" s="139" t="s">
        <v>22</v>
      </c>
      <c r="C85" s="5">
        <v>2</v>
      </c>
      <c r="D85" s="5"/>
      <c r="E85" s="5"/>
      <c r="F85" s="231"/>
      <c r="G85" s="5">
        <v>8</v>
      </c>
      <c r="H85" s="5">
        <v>100</v>
      </c>
      <c r="I85" s="5">
        <f>ROUND(2.48/0.1+1,0)</f>
        <v>26</v>
      </c>
      <c r="J85" s="140">
        <v>2.44</v>
      </c>
      <c r="K85" s="133">
        <f t="shared" si="6"/>
        <v>63.44</v>
      </c>
      <c r="L85" s="135">
        <f t="shared" si="7"/>
        <v>0.39457459926017263</v>
      </c>
      <c r="M85" s="152">
        <f t="shared" si="8"/>
        <v>50.063625154130705</v>
      </c>
    </row>
    <row r="86" spans="1:13">
      <c r="A86" s="231"/>
      <c r="B86" s="139" t="s">
        <v>23</v>
      </c>
      <c r="C86" s="5">
        <v>2</v>
      </c>
      <c r="D86" s="5"/>
      <c r="E86" s="5"/>
      <c r="F86" s="231"/>
      <c r="G86" s="5">
        <v>8</v>
      </c>
      <c r="H86" s="5">
        <v>100</v>
      </c>
      <c r="I86" s="5">
        <f t="shared" ref="I86:I89" si="11">ROUND(2.48/0.1+1,0)</f>
        <v>26</v>
      </c>
      <c r="J86" s="140">
        <v>1.53</v>
      </c>
      <c r="K86" s="133">
        <f t="shared" si="6"/>
        <v>39.78</v>
      </c>
      <c r="L86" s="135">
        <f t="shared" si="7"/>
        <v>0.39457459926017263</v>
      </c>
      <c r="M86" s="152">
        <f t="shared" si="8"/>
        <v>31.392355117139335</v>
      </c>
    </row>
    <row r="87" spans="1:13">
      <c r="A87" s="231"/>
      <c r="B87" s="139" t="s">
        <v>24</v>
      </c>
      <c r="C87" s="5">
        <v>2</v>
      </c>
      <c r="D87" s="5"/>
      <c r="E87" s="5"/>
      <c r="F87" s="231"/>
      <c r="G87" s="5">
        <v>8</v>
      </c>
      <c r="H87" s="5">
        <v>100</v>
      </c>
      <c r="I87" s="5">
        <f t="shared" si="11"/>
        <v>26</v>
      </c>
      <c r="J87" s="140">
        <v>1.53</v>
      </c>
      <c r="K87" s="133">
        <f t="shared" si="6"/>
        <v>39.78</v>
      </c>
      <c r="L87" s="135">
        <f t="shared" si="7"/>
        <v>0.39457459926017263</v>
      </c>
      <c r="M87" s="152">
        <f t="shared" si="8"/>
        <v>31.392355117139335</v>
      </c>
    </row>
    <row r="88" spans="1:13">
      <c r="A88" s="231"/>
      <c r="B88" s="139" t="s">
        <v>30</v>
      </c>
      <c r="C88" s="5">
        <v>2</v>
      </c>
      <c r="D88" s="5"/>
      <c r="E88" s="5"/>
      <c r="F88" s="231"/>
      <c r="G88" s="5">
        <v>8</v>
      </c>
      <c r="H88" s="5">
        <v>100</v>
      </c>
      <c r="I88" s="5">
        <f t="shared" si="11"/>
        <v>26</v>
      </c>
      <c r="J88" s="140">
        <v>1.53</v>
      </c>
      <c r="K88" s="133">
        <f t="shared" si="6"/>
        <v>39.78</v>
      </c>
      <c r="L88" s="135">
        <f t="shared" si="7"/>
        <v>0.39457459926017263</v>
      </c>
      <c r="M88" s="152">
        <f t="shared" si="8"/>
        <v>31.392355117139335</v>
      </c>
    </row>
    <row r="89" spans="1:13">
      <c r="A89" s="232"/>
      <c r="B89" s="139" t="s">
        <v>31</v>
      </c>
      <c r="C89" s="5">
        <v>2</v>
      </c>
      <c r="D89" s="5"/>
      <c r="E89" s="5"/>
      <c r="F89" s="232"/>
      <c r="G89" s="5">
        <v>8</v>
      </c>
      <c r="H89" s="5">
        <v>100</v>
      </c>
      <c r="I89" s="5">
        <f t="shared" si="11"/>
        <v>26</v>
      </c>
      <c r="J89" s="140">
        <v>1.53</v>
      </c>
      <c r="K89" s="133">
        <f t="shared" si="6"/>
        <v>39.78</v>
      </c>
      <c r="L89" s="135">
        <f t="shared" si="7"/>
        <v>0.39457459926017263</v>
      </c>
      <c r="M89" s="152">
        <f t="shared" si="8"/>
        <v>31.392355117139335</v>
      </c>
    </row>
    <row r="90" spans="1:13">
      <c r="A90" s="230">
        <v>4</v>
      </c>
      <c r="B90" s="136" t="s">
        <v>38</v>
      </c>
      <c r="C90" s="5"/>
      <c r="D90" s="5"/>
      <c r="E90" s="5"/>
      <c r="F90" s="230" t="s">
        <v>445</v>
      </c>
      <c r="G90" s="5"/>
      <c r="H90" s="5"/>
      <c r="I90" s="5"/>
      <c r="J90" s="140"/>
      <c r="K90" s="133"/>
      <c r="L90" s="135"/>
      <c r="M90" s="152"/>
    </row>
    <row r="91" spans="1:13">
      <c r="A91" s="231"/>
      <c r="B91" s="139" t="s">
        <v>22</v>
      </c>
      <c r="C91" s="5">
        <v>2</v>
      </c>
      <c r="D91" s="5"/>
      <c r="E91" s="5"/>
      <c r="F91" s="231"/>
      <c r="G91" s="5">
        <v>8</v>
      </c>
      <c r="H91" s="5">
        <v>100</v>
      </c>
      <c r="I91" s="5">
        <f>ROUND(2.48/0.1+1,0)</f>
        <v>26</v>
      </c>
      <c r="J91" s="5">
        <v>3.04</v>
      </c>
      <c r="K91" s="133">
        <f t="shared" si="6"/>
        <v>79.040000000000006</v>
      </c>
      <c r="L91" s="135">
        <f t="shared" si="7"/>
        <v>0.39457459926017263</v>
      </c>
      <c r="M91" s="152">
        <f t="shared" si="8"/>
        <v>62.374352651048092</v>
      </c>
    </row>
    <row r="92" spans="1:13">
      <c r="A92" s="231"/>
      <c r="B92" s="139" t="s">
        <v>23</v>
      </c>
      <c r="C92" s="5">
        <v>2</v>
      </c>
      <c r="D92" s="5"/>
      <c r="E92" s="5"/>
      <c r="F92" s="231"/>
      <c r="G92" s="5">
        <v>8</v>
      </c>
      <c r="H92" s="5">
        <v>100</v>
      </c>
      <c r="I92" s="5">
        <f t="shared" ref="I92:I95" si="12">ROUND(2.48/0.1+1,0)</f>
        <v>26</v>
      </c>
      <c r="J92" s="5">
        <v>1.81</v>
      </c>
      <c r="K92" s="133">
        <f t="shared" si="6"/>
        <v>47.06</v>
      </c>
      <c r="L92" s="135">
        <f t="shared" si="7"/>
        <v>0.39457459926017263</v>
      </c>
      <c r="M92" s="152">
        <f t="shared" si="8"/>
        <v>37.137361282367451</v>
      </c>
    </row>
    <row r="93" spans="1:13">
      <c r="A93" s="231"/>
      <c r="B93" s="139" t="s">
        <v>24</v>
      </c>
      <c r="C93" s="5">
        <v>2</v>
      </c>
      <c r="D93" s="5"/>
      <c r="E93" s="5"/>
      <c r="F93" s="231"/>
      <c r="G93" s="5">
        <v>8</v>
      </c>
      <c r="H93" s="5">
        <v>100</v>
      </c>
      <c r="I93" s="5">
        <f t="shared" si="12"/>
        <v>26</v>
      </c>
      <c r="J93" s="5">
        <v>1.81</v>
      </c>
      <c r="K93" s="133">
        <f t="shared" si="6"/>
        <v>47.06</v>
      </c>
      <c r="L93" s="135">
        <f t="shared" si="7"/>
        <v>0.39457459926017263</v>
      </c>
      <c r="M93" s="152">
        <f t="shared" si="8"/>
        <v>37.137361282367451</v>
      </c>
    </row>
    <row r="94" spans="1:13">
      <c r="A94" s="231"/>
      <c r="B94" s="139" t="s">
        <v>30</v>
      </c>
      <c r="C94" s="5">
        <v>2</v>
      </c>
      <c r="D94" s="5"/>
      <c r="E94" s="5"/>
      <c r="F94" s="231"/>
      <c r="G94" s="5">
        <v>8</v>
      </c>
      <c r="H94" s="5">
        <v>100</v>
      </c>
      <c r="I94" s="5">
        <f t="shared" si="12"/>
        <v>26</v>
      </c>
      <c r="J94" s="5">
        <v>1.81</v>
      </c>
      <c r="K94" s="133">
        <f t="shared" si="6"/>
        <v>47.06</v>
      </c>
      <c r="L94" s="135">
        <f t="shared" si="7"/>
        <v>0.39457459926017263</v>
      </c>
      <c r="M94" s="152">
        <f t="shared" si="8"/>
        <v>37.137361282367451</v>
      </c>
    </row>
    <row r="95" spans="1:13">
      <c r="A95" s="231"/>
      <c r="B95" s="139" t="s">
        <v>31</v>
      </c>
      <c r="C95" s="5">
        <v>2</v>
      </c>
      <c r="D95" s="5"/>
      <c r="E95" s="5"/>
      <c r="F95" s="231"/>
      <c r="G95" s="5">
        <v>8</v>
      </c>
      <c r="H95" s="5">
        <v>100</v>
      </c>
      <c r="I95" s="5">
        <f t="shared" si="12"/>
        <v>26</v>
      </c>
      <c r="J95" s="5">
        <v>1.81</v>
      </c>
      <c r="K95" s="133">
        <f t="shared" si="6"/>
        <v>47.06</v>
      </c>
      <c r="L95" s="135">
        <f t="shared" si="7"/>
        <v>0.39457459926017263</v>
      </c>
      <c r="M95" s="152">
        <f t="shared" si="8"/>
        <v>37.137361282367451</v>
      </c>
    </row>
    <row r="96" spans="1:13">
      <c r="A96" s="231"/>
      <c r="B96" s="139" t="s">
        <v>25</v>
      </c>
      <c r="C96" s="5">
        <v>2</v>
      </c>
      <c r="D96" s="5"/>
      <c r="E96" s="5"/>
      <c r="F96" s="231"/>
      <c r="G96" s="5">
        <v>8</v>
      </c>
      <c r="H96" s="5">
        <v>100</v>
      </c>
      <c r="I96" s="5">
        <f>ROUND(2.48/0.1+1,0)</f>
        <v>26</v>
      </c>
      <c r="J96" s="5">
        <v>0.88</v>
      </c>
      <c r="K96" s="133">
        <f t="shared" si="6"/>
        <v>22.88</v>
      </c>
      <c r="L96" s="135">
        <f t="shared" si="7"/>
        <v>0.39457459926017263</v>
      </c>
      <c r="M96" s="152">
        <f t="shared" si="8"/>
        <v>18.055733662145499</v>
      </c>
    </row>
    <row r="97" spans="1:13">
      <c r="A97" s="231"/>
      <c r="B97" s="139" t="s">
        <v>26</v>
      </c>
      <c r="C97" s="5">
        <v>2</v>
      </c>
      <c r="D97" s="5"/>
      <c r="E97" s="5"/>
      <c r="F97" s="231"/>
      <c r="G97" s="5">
        <v>8</v>
      </c>
      <c r="H97" s="5">
        <v>100</v>
      </c>
      <c r="I97" s="5">
        <f t="shared" ref="I97:I100" si="13">ROUND(2.48/0.1+1,0)</f>
        <v>26</v>
      </c>
      <c r="J97" s="5">
        <v>0.88</v>
      </c>
      <c r="K97" s="133">
        <f t="shared" si="6"/>
        <v>22.88</v>
      </c>
      <c r="L97" s="135">
        <f t="shared" si="7"/>
        <v>0.39457459926017263</v>
      </c>
      <c r="M97" s="152">
        <f t="shared" si="8"/>
        <v>18.055733662145499</v>
      </c>
    </row>
    <row r="98" spans="1:13">
      <c r="A98" s="231"/>
      <c r="B98" s="139" t="s">
        <v>27</v>
      </c>
      <c r="C98" s="5">
        <v>2</v>
      </c>
      <c r="D98" s="5"/>
      <c r="E98" s="5"/>
      <c r="F98" s="231"/>
      <c r="G98" s="5">
        <v>8</v>
      </c>
      <c r="H98" s="5">
        <v>100</v>
      </c>
      <c r="I98" s="5">
        <f t="shared" si="13"/>
        <v>26</v>
      </c>
      <c r="J98" s="5">
        <v>0.88</v>
      </c>
      <c r="K98" s="133">
        <f t="shared" si="6"/>
        <v>22.88</v>
      </c>
      <c r="L98" s="135">
        <f t="shared" si="7"/>
        <v>0.39457459926017263</v>
      </c>
      <c r="M98" s="152">
        <f t="shared" si="8"/>
        <v>18.055733662145499</v>
      </c>
    </row>
    <row r="99" spans="1:13">
      <c r="A99" s="231"/>
      <c r="B99" s="139" t="s">
        <v>28</v>
      </c>
      <c r="C99" s="5">
        <v>2</v>
      </c>
      <c r="D99" s="5"/>
      <c r="E99" s="5"/>
      <c r="F99" s="231"/>
      <c r="G99" s="5">
        <v>8</v>
      </c>
      <c r="H99" s="5">
        <v>100</v>
      </c>
      <c r="I99" s="5">
        <f t="shared" si="13"/>
        <v>26</v>
      </c>
      <c r="J99" s="5">
        <v>0.88</v>
      </c>
      <c r="K99" s="133">
        <f t="shared" si="6"/>
        <v>22.88</v>
      </c>
      <c r="L99" s="135">
        <f t="shared" si="7"/>
        <v>0.39457459926017263</v>
      </c>
      <c r="M99" s="152">
        <f t="shared" si="8"/>
        <v>18.055733662145499</v>
      </c>
    </row>
    <row r="100" spans="1:13">
      <c r="A100" s="232"/>
      <c r="B100" s="139" t="s">
        <v>29</v>
      </c>
      <c r="C100" s="5">
        <v>2</v>
      </c>
      <c r="D100" s="5"/>
      <c r="E100" s="5"/>
      <c r="F100" s="232"/>
      <c r="G100" s="5">
        <v>8</v>
      </c>
      <c r="H100" s="5">
        <v>100</v>
      </c>
      <c r="I100" s="5">
        <f t="shared" si="13"/>
        <v>26</v>
      </c>
      <c r="J100" s="5">
        <v>0.88</v>
      </c>
      <c r="K100" s="133">
        <f t="shared" si="6"/>
        <v>22.88</v>
      </c>
      <c r="L100" s="135">
        <f t="shared" si="7"/>
        <v>0.39457459926017263</v>
      </c>
      <c r="M100" s="152">
        <f t="shared" si="8"/>
        <v>18.055733662145499</v>
      </c>
    </row>
    <row r="101" spans="1:13">
      <c r="A101" s="230">
        <v>5</v>
      </c>
      <c r="B101" s="136" t="s">
        <v>39</v>
      </c>
      <c r="C101" s="5"/>
      <c r="D101" s="5"/>
      <c r="E101" s="5"/>
      <c r="F101" s="230" t="s">
        <v>445</v>
      </c>
      <c r="G101" s="5"/>
      <c r="H101" s="5"/>
      <c r="I101" s="5"/>
      <c r="J101" s="5"/>
      <c r="K101" s="133"/>
      <c r="L101" s="135"/>
      <c r="M101" s="152"/>
    </row>
    <row r="102" spans="1:13">
      <c r="A102" s="231"/>
      <c r="B102" s="139" t="s">
        <v>22</v>
      </c>
      <c r="C102" s="5">
        <v>2</v>
      </c>
      <c r="D102" s="5"/>
      <c r="E102" s="5"/>
      <c r="F102" s="231"/>
      <c r="G102" s="5">
        <v>8</v>
      </c>
      <c r="H102" s="5">
        <v>100</v>
      </c>
      <c r="I102" s="5">
        <f>ROUND(2.48/0.1+1,0)</f>
        <v>26</v>
      </c>
      <c r="J102" s="5">
        <v>3.04</v>
      </c>
      <c r="K102" s="133">
        <f t="shared" si="6"/>
        <v>79.040000000000006</v>
      </c>
      <c r="L102" s="135">
        <f t="shared" si="7"/>
        <v>0.39457459926017263</v>
      </c>
      <c r="M102" s="152">
        <f t="shared" si="8"/>
        <v>62.374352651048092</v>
      </c>
    </row>
    <row r="103" spans="1:13">
      <c r="A103" s="231"/>
      <c r="B103" s="139" t="s">
        <v>23</v>
      </c>
      <c r="C103" s="5">
        <v>2</v>
      </c>
      <c r="D103" s="5"/>
      <c r="E103" s="5"/>
      <c r="F103" s="231"/>
      <c r="G103" s="5">
        <v>8</v>
      </c>
      <c r="H103" s="5">
        <v>100</v>
      </c>
      <c r="I103" s="5">
        <f t="shared" ref="I103:I106" si="14">ROUND(2.48/0.1+1,0)</f>
        <v>26</v>
      </c>
      <c r="J103" s="5">
        <v>1.81</v>
      </c>
      <c r="K103" s="133">
        <f t="shared" si="6"/>
        <v>47.06</v>
      </c>
      <c r="L103" s="135">
        <f t="shared" si="7"/>
        <v>0.39457459926017263</v>
      </c>
      <c r="M103" s="152">
        <f t="shared" si="8"/>
        <v>37.137361282367451</v>
      </c>
    </row>
    <row r="104" spans="1:13">
      <c r="A104" s="231"/>
      <c r="B104" s="139" t="s">
        <v>24</v>
      </c>
      <c r="C104" s="5">
        <v>2</v>
      </c>
      <c r="D104" s="5"/>
      <c r="E104" s="5"/>
      <c r="F104" s="231"/>
      <c r="G104" s="5">
        <v>8</v>
      </c>
      <c r="H104" s="5">
        <v>100</v>
      </c>
      <c r="I104" s="5">
        <f t="shared" si="14"/>
        <v>26</v>
      </c>
      <c r="J104" s="5">
        <v>1.81</v>
      </c>
      <c r="K104" s="133">
        <f t="shared" si="6"/>
        <v>47.06</v>
      </c>
      <c r="L104" s="135">
        <f t="shared" si="7"/>
        <v>0.39457459926017263</v>
      </c>
      <c r="M104" s="152">
        <f t="shared" si="8"/>
        <v>37.137361282367451</v>
      </c>
    </row>
    <row r="105" spans="1:13">
      <c r="A105" s="231"/>
      <c r="B105" s="139" t="s">
        <v>30</v>
      </c>
      <c r="C105" s="5">
        <v>2</v>
      </c>
      <c r="D105" s="5"/>
      <c r="E105" s="5"/>
      <c r="F105" s="231"/>
      <c r="G105" s="5">
        <v>8</v>
      </c>
      <c r="H105" s="5">
        <v>100</v>
      </c>
      <c r="I105" s="5">
        <f t="shared" si="14"/>
        <v>26</v>
      </c>
      <c r="J105" s="5">
        <v>1.81</v>
      </c>
      <c r="K105" s="133">
        <f t="shared" si="6"/>
        <v>47.06</v>
      </c>
      <c r="L105" s="135">
        <f t="shared" si="7"/>
        <v>0.39457459926017263</v>
      </c>
      <c r="M105" s="152">
        <f t="shared" si="8"/>
        <v>37.137361282367451</v>
      </c>
    </row>
    <row r="106" spans="1:13">
      <c r="A106" s="231"/>
      <c r="B106" s="139" t="s">
        <v>31</v>
      </c>
      <c r="C106" s="5">
        <v>2</v>
      </c>
      <c r="D106" s="5"/>
      <c r="E106" s="5"/>
      <c r="F106" s="231"/>
      <c r="G106" s="5">
        <v>8</v>
      </c>
      <c r="H106" s="5">
        <v>100</v>
      </c>
      <c r="I106" s="5">
        <f t="shared" si="14"/>
        <v>26</v>
      </c>
      <c r="J106" s="5">
        <v>1.81</v>
      </c>
      <c r="K106" s="133">
        <f t="shared" si="6"/>
        <v>47.06</v>
      </c>
      <c r="L106" s="135">
        <f t="shared" si="7"/>
        <v>0.39457459926017263</v>
      </c>
      <c r="M106" s="152">
        <f t="shared" si="8"/>
        <v>37.137361282367451</v>
      </c>
    </row>
    <row r="107" spans="1:13">
      <c r="A107" s="231"/>
      <c r="B107" s="139" t="s">
        <v>25</v>
      </c>
      <c r="C107" s="5">
        <v>2</v>
      </c>
      <c r="D107" s="5"/>
      <c r="E107" s="5"/>
      <c r="F107" s="231"/>
      <c r="G107" s="5">
        <v>8</v>
      </c>
      <c r="H107" s="5">
        <v>100</v>
      </c>
      <c r="I107" s="5">
        <f>ROUND(2.48/0.1+1,0)</f>
        <v>26</v>
      </c>
      <c r="J107" s="5">
        <v>0.88</v>
      </c>
      <c r="K107" s="133">
        <f t="shared" si="6"/>
        <v>22.88</v>
      </c>
      <c r="L107" s="135">
        <f t="shared" si="7"/>
        <v>0.39457459926017263</v>
      </c>
      <c r="M107" s="152">
        <f t="shared" si="8"/>
        <v>18.055733662145499</v>
      </c>
    </row>
    <row r="108" spans="1:13">
      <c r="A108" s="231"/>
      <c r="B108" s="139" t="s">
        <v>26</v>
      </c>
      <c r="C108" s="5">
        <v>2</v>
      </c>
      <c r="D108" s="5"/>
      <c r="E108" s="5"/>
      <c r="F108" s="231"/>
      <c r="G108" s="5">
        <v>8</v>
      </c>
      <c r="H108" s="5">
        <v>100</v>
      </c>
      <c r="I108" s="5">
        <f t="shared" ref="I108:I110" si="15">ROUND(2.48/0.1+1,0)</f>
        <v>26</v>
      </c>
      <c r="J108" s="5">
        <v>0.88</v>
      </c>
      <c r="K108" s="133">
        <f t="shared" si="6"/>
        <v>22.88</v>
      </c>
      <c r="L108" s="135">
        <f t="shared" si="7"/>
        <v>0.39457459926017263</v>
      </c>
      <c r="M108" s="152">
        <f t="shared" si="8"/>
        <v>18.055733662145499</v>
      </c>
    </row>
    <row r="109" spans="1:13">
      <c r="A109" s="231"/>
      <c r="B109" s="139" t="s">
        <v>27</v>
      </c>
      <c r="C109" s="5">
        <v>2</v>
      </c>
      <c r="D109" s="5"/>
      <c r="E109" s="5"/>
      <c r="F109" s="231"/>
      <c r="G109" s="5">
        <v>8</v>
      </c>
      <c r="H109" s="5">
        <v>100</v>
      </c>
      <c r="I109" s="5">
        <f t="shared" si="15"/>
        <v>26</v>
      </c>
      <c r="J109" s="5">
        <v>0.88</v>
      </c>
      <c r="K109" s="133">
        <f t="shared" si="6"/>
        <v>22.88</v>
      </c>
      <c r="L109" s="135">
        <f t="shared" si="7"/>
        <v>0.39457459926017263</v>
      </c>
      <c r="M109" s="152">
        <f t="shared" si="8"/>
        <v>18.055733662145499</v>
      </c>
    </row>
    <row r="110" spans="1:13">
      <c r="A110" s="232"/>
      <c r="B110" s="139" t="s">
        <v>28</v>
      </c>
      <c r="C110" s="5">
        <v>2</v>
      </c>
      <c r="D110" s="5"/>
      <c r="E110" s="5"/>
      <c r="F110" s="232"/>
      <c r="G110" s="5">
        <v>8</v>
      </c>
      <c r="H110" s="5">
        <v>100</v>
      </c>
      <c r="I110" s="5">
        <f t="shared" si="15"/>
        <v>26</v>
      </c>
      <c r="J110" s="5">
        <v>0.88</v>
      </c>
      <c r="K110" s="133">
        <f t="shared" si="6"/>
        <v>22.88</v>
      </c>
      <c r="L110" s="135">
        <f t="shared" si="7"/>
        <v>0.39457459926017263</v>
      </c>
      <c r="M110" s="152">
        <f t="shared" si="8"/>
        <v>18.055733662145499</v>
      </c>
    </row>
    <row r="111" spans="1:13">
      <c r="A111" s="230">
        <v>6</v>
      </c>
      <c r="B111" s="136" t="s">
        <v>40</v>
      </c>
      <c r="C111" s="5"/>
      <c r="D111" s="5"/>
      <c r="E111" s="5"/>
      <c r="F111" s="230" t="s">
        <v>443</v>
      </c>
      <c r="G111" s="5"/>
      <c r="H111" s="5"/>
      <c r="I111" s="5"/>
      <c r="J111" s="5"/>
      <c r="K111" s="133"/>
      <c r="L111" s="135"/>
      <c r="M111" s="152"/>
    </row>
    <row r="112" spans="1:13">
      <c r="A112" s="231"/>
      <c r="B112" s="139" t="s">
        <v>22</v>
      </c>
      <c r="C112" s="5">
        <v>2</v>
      </c>
      <c r="D112" s="5"/>
      <c r="E112" s="5"/>
      <c r="F112" s="231"/>
      <c r="G112" s="5">
        <v>8</v>
      </c>
      <c r="H112" s="5">
        <v>100</v>
      </c>
      <c r="I112" s="5">
        <f t="shared" ref="I112" si="16">ROUND(2.48/0.1+1,0)</f>
        <v>26</v>
      </c>
      <c r="J112" s="5">
        <v>2.04</v>
      </c>
      <c r="K112" s="133">
        <f t="shared" si="6"/>
        <v>53.04</v>
      </c>
      <c r="L112" s="135">
        <f t="shared" si="7"/>
        <v>0.39457459926017263</v>
      </c>
      <c r="M112" s="152">
        <f t="shared" si="8"/>
        <v>41.856473489519111</v>
      </c>
    </row>
    <row r="113" spans="1:13">
      <c r="A113" s="231"/>
      <c r="B113" s="139" t="s">
        <v>23</v>
      </c>
      <c r="C113" s="5">
        <v>2</v>
      </c>
      <c r="D113" s="5"/>
      <c r="E113" s="5"/>
      <c r="F113" s="231"/>
      <c r="G113" s="5">
        <v>8</v>
      </c>
      <c r="H113" s="5">
        <v>100</v>
      </c>
      <c r="I113" s="5">
        <f>ROUND(2.48/0.1+1,0)</f>
        <v>26</v>
      </c>
      <c r="J113" s="5">
        <v>1.34</v>
      </c>
      <c r="K113" s="133">
        <f t="shared" si="6"/>
        <v>34.840000000000003</v>
      </c>
      <c r="L113" s="135">
        <f t="shared" si="7"/>
        <v>0.39457459926017263</v>
      </c>
      <c r="M113" s="152">
        <f t="shared" si="8"/>
        <v>27.49395807644883</v>
      </c>
    </row>
    <row r="114" spans="1:13">
      <c r="A114" s="231"/>
      <c r="B114" s="139" t="s">
        <v>24</v>
      </c>
      <c r="C114" s="5">
        <v>2</v>
      </c>
      <c r="D114" s="5"/>
      <c r="E114" s="5"/>
      <c r="F114" s="231"/>
      <c r="G114" s="5">
        <v>8</v>
      </c>
      <c r="H114" s="5">
        <v>100</v>
      </c>
      <c r="I114" s="5">
        <f t="shared" ref="I114:I116" si="17">ROUND(2.48/0.1+1,0)</f>
        <v>26</v>
      </c>
      <c r="J114" s="5">
        <v>1.34</v>
      </c>
      <c r="K114" s="133">
        <f t="shared" si="6"/>
        <v>34.840000000000003</v>
      </c>
      <c r="L114" s="135">
        <f t="shared" si="7"/>
        <v>0.39457459926017263</v>
      </c>
      <c r="M114" s="152">
        <f t="shared" si="8"/>
        <v>27.49395807644883</v>
      </c>
    </row>
    <row r="115" spans="1:13">
      <c r="A115" s="231"/>
      <c r="B115" s="139" t="s">
        <v>25</v>
      </c>
      <c r="C115" s="5">
        <v>2</v>
      </c>
      <c r="D115" s="5"/>
      <c r="E115" s="5"/>
      <c r="F115" s="231"/>
      <c r="G115" s="5">
        <v>8</v>
      </c>
      <c r="H115" s="5">
        <v>100</v>
      </c>
      <c r="I115" s="5">
        <f t="shared" si="17"/>
        <v>26</v>
      </c>
      <c r="J115" s="5">
        <v>0.63</v>
      </c>
      <c r="K115" s="133">
        <f t="shared" si="6"/>
        <v>16.38</v>
      </c>
      <c r="L115" s="135">
        <f t="shared" si="7"/>
        <v>0.39457459926017263</v>
      </c>
      <c r="M115" s="152">
        <f t="shared" si="8"/>
        <v>12.926263871763254</v>
      </c>
    </row>
    <row r="116" spans="1:13">
      <c r="A116" s="232"/>
      <c r="B116" s="139" t="s">
        <v>26</v>
      </c>
      <c r="C116" s="5">
        <v>2</v>
      </c>
      <c r="D116" s="5"/>
      <c r="E116" s="5"/>
      <c r="F116" s="232"/>
      <c r="G116" s="5">
        <v>8</v>
      </c>
      <c r="H116" s="5">
        <v>100</v>
      </c>
      <c r="I116" s="5">
        <f t="shared" si="17"/>
        <v>26</v>
      </c>
      <c r="J116" s="5">
        <v>0.63</v>
      </c>
      <c r="K116" s="133">
        <f t="shared" si="6"/>
        <v>16.38</v>
      </c>
      <c r="L116" s="135">
        <f t="shared" si="7"/>
        <v>0.39457459926017263</v>
      </c>
      <c r="M116" s="152">
        <f t="shared" si="8"/>
        <v>12.926263871763254</v>
      </c>
    </row>
    <row r="117" spans="1:13">
      <c r="A117" s="230">
        <v>7</v>
      </c>
      <c r="B117" s="136" t="s">
        <v>41</v>
      </c>
      <c r="C117" s="5"/>
      <c r="D117" s="5"/>
      <c r="E117" s="5"/>
      <c r="F117" s="230" t="s">
        <v>446</v>
      </c>
      <c r="G117" s="5"/>
      <c r="H117" s="5"/>
      <c r="I117" s="5"/>
      <c r="J117" s="5"/>
      <c r="K117" s="133"/>
      <c r="L117" s="135"/>
      <c r="M117" s="152"/>
    </row>
    <row r="118" spans="1:13">
      <c r="A118" s="231"/>
      <c r="B118" s="139" t="s">
        <v>22</v>
      </c>
      <c r="C118" s="5">
        <v>5</v>
      </c>
      <c r="D118" s="5"/>
      <c r="E118" s="5"/>
      <c r="F118" s="231"/>
      <c r="G118" s="5">
        <v>8</v>
      </c>
      <c r="H118" s="5">
        <v>100</v>
      </c>
      <c r="I118" s="5">
        <f>ROUND(3.33/0.1+1,0)</f>
        <v>34</v>
      </c>
      <c r="J118" s="5">
        <v>2.27</v>
      </c>
      <c r="K118" s="133">
        <f t="shared" si="6"/>
        <v>77.180000000000007</v>
      </c>
      <c r="L118" s="135">
        <f t="shared" si="7"/>
        <v>0.39457459926017263</v>
      </c>
      <c r="M118" s="152">
        <f t="shared" si="8"/>
        <v>152.26633785450065</v>
      </c>
    </row>
    <row r="119" spans="1:13">
      <c r="A119" s="231"/>
      <c r="B119" s="139" t="s">
        <v>23</v>
      </c>
      <c r="C119" s="5">
        <v>5</v>
      </c>
      <c r="D119" s="5"/>
      <c r="E119" s="5"/>
      <c r="F119" s="231"/>
      <c r="G119" s="5">
        <v>8</v>
      </c>
      <c r="H119" s="5">
        <v>100</v>
      </c>
      <c r="I119" s="5">
        <f t="shared" ref="I119:I125" si="18">ROUND(3.33/0.1+1,0)</f>
        <v>34</v>
      </c>
      <c r="J119" s="5">
        <v>1.4</v>
      </c>
      <c r="K119" s="133">
        <f t="shared" si="6"/>
        <v>47.599999999999994</v>
      </c>
      <c r="L119" s="135">
        <f t="shared" si="7"/>
        <v>0.39457459926017263</v>
      </c>
      <c r="M119" s="152">
        <f t="shared" si="8"/>
        <v>93.908754623921084</v>
      </c>
    </row>
    <row r="120" spans="1:13">
      <c r="A120" s="231"/>
      <c r="B120" s="139" t="s">
        <v>24</v>
      </c>
      <c r="C120" s="5">
        <v>5</v>
      </c>
      <c r="D120" s="5"/>
      <c r="E120" s="5"/>
      <c r="F120" s="231"/>
      <c r="G120" s="5">
        <v>8</v>
      </c>
      <c r="H120" s="5">
        <v>100</v>
      </c>
      <c r="I120" s="5">
        <f t="shared" si="18"/>
        <v>34</v>
      </c>
      <c r="J120" s="5">
        <v>1.4</v>
      </c>
      <c r="K120" s="133">
        <f t="shared" si="6"/>
        <v>47.599999999999994</v>
      </c>
      <c r="L120" s="135">
        <f t="shared" si="7"/>
        <v>0.39457459926017263</v>
      </c>
      <c r="M120" s="152">
        <f t="shared" si="8"/>
        <v>93.908754623921084</v>
      </c>
    </row>
    <row r="121" spans="1:13">
      <c r="A121" s="231"/>
      <c r="B121" s="139" t="s">
        <v>30</v>
      </c>
      <c r="C121" s="5">
        <v>5</v>
      </c>
      <c r="D121" s="5"/>
      <c r="E121" s="5"/>
      <c r="F121" s="231"/>
      <c r="G121" s="5">
        <v>8</v>
      </c>
      <c r="H121" s="5">
        <v>100</v>
      </c>
      <c r="I121" s="5">
        <f t="shared" si="18"/>
        <v>34</v>
      </c>
      <c r="J121" s="5">
        <v>1.4</v>
      </c>
      <c r="K121" s="133">
        <f t="shared" si="6"/>
        <v>47.599999999999994</v>
      </c>
      <c r="L121" s="135">
        <f t="shared" si="7"/>
        <v>0.39457459926017263</v>
      </c>
      <c r="M121" s="152">
        <f t="shared" si="8"/>
        <v>93.908754623921084</v>
      </c>
    </row>
    <row r="122" spans="1:13">
      <c r="A122" s="231"/>
      <c r="B122" s="139" t="s">
        <v>31</v>
      </c>
      <c r="C122" s="5">
        <v>5</v>
      </c>
      <c r="D122" s="5"/>
      <c r="E122" s="5"/>
      <c r="F122" s="231"/>
      <c r="G122" s="5">
        <v>8</v>
      </c>
      <c r="H122" s="5">
        <v>100</v>
      </c>
      <c r="I122" s="5">
        <f t="shared" si="18"/>
        <v>34</v>
      </c>
      <c r="J122" s="5">
        <v>1.41</v>
      </c>
      <c r="K122" s="133">
        <f t="shared" si="6"/>
        <v>47.94</v>
      </c>
      <c r="L122" s="135">
        <f t="shared" si="7"/>
        <v>0.39457459926017263</v>
      </c>
      <c r="M122" s="152">
        <f t="shared" si="8"/>
        <v>94.579531442663381</v>
      </c>
    </row>
    <row r="123" spans="1:13">
      <c r="A123" s="231"/>
      <c r="B123" s="139" t="s">
        <v>32</v>
      </c>
      <c r="C123" s="5">
        <v>5</v>
      </c>
      <c r="D123" s="5"/>
      <c r="E123" s="5"/>
      <c r="F123" s="231"/>
      <c r="G123" s="5">
        <v>8</v>
      </c>
      <c r="H123" s="5">
        <v>100</v>
      </c>
      <c r="I123" s="5">
        <f t="shared" si="18"/>
        <v>34</v>
      </c>
      <c r="J123" s="5">
        <v>1.41</v>
      </c>
      <c r="K123" s="133">
        <f t="shared" si="6"/>
        <v>47.94</v>
      </c>
      <c r="L123" s="135">
        <f t="shared" si="7"/>
        <v>0.39457459926017263</v>
      </c>
      <c r="M123" s="152">
        <f t="shared" si="8"/>
        <v>94.579531442663381</v>
      </c>
    </row>
    <row r="124" spans="1:13">
      <c r="A124" s="231"/>
      <c r="B124" s="139" t="s">
        <v>25</v>
      </c>
      <c r="C124" s="5">
        <v>5</v>
      </c>
      <c r="D124" s="5"/>
      <c r="E124" s="5"/>
      <c r="F124" s="231"/>
      <c r="G124" s="5">
        <v>8</v>
      </c>
      <c r="H124" s="5">
        <v>100</v>
      </c>
      <c r="I124" s="5">
        <f t="shared" si="18"/>
        <v>34</v>
      </c>
      <c r="J124" s="5">
        <v>0.68</v>
      </c>
      <c r="K124" s="133">
        <f t="shared" si="6"/>
        <v>23.12</v>
      </c>
      <c r="L124" s="135">
        <f t="shared" si="7"/>
        <v>0.39457459926017263</v>
      </c>
      <c r="M124" s="152">
        <f t="shared" si="8"/>
        <v>45.612823674475962</v>
      </c>
    </row>
    <row r="125" spans="1:13">
      <c r="A125" s="232"/>
      <c r="B125" s="139" t="s">
        <v>26</v>
      </c>
      <c r="C125" s="5">
        <v>5</v>
      </c>
      <c r="D125" s="5"/>
      <c r="E125" s="5"/>
      <c r="F125" s="232"/>
      <c r="G125" s="5">
        <v>8</v>
      </c>
      <c r="H125" s="5">
        <v>100</v>
      </c>
      <c r="I125" s="5">
        <f t="shared" si="18"/>
        <v>34</v>
      </c>
      <c r="J125" s="5">
        <v>0.68</v>
      </c>
      <c r="K125" s="133">
        <f t="shared" si="6"/>
        <v>23.12</v>
      </c>
      <c r="L125" s="135">
        <f t="shared" si="7"/>
        <v>0.39457459926017263</v>
      </c>
      <c r="M125" s="152">
        <f t="shared" si="8"/>
        <v>45.612823674475962</v>
      </c>
    </row>
    <row r="126" spans="1:13">
      <c r="A126" s="230">
        <v>8</v>
      </c>
      <c r="B126" s="141" t="s">
        <v>42</v>
      </c>
      <c r="C126" s="5"/>
      <c r="D126" s="5"/>
      <c r="E126" s="5"/>
      <c r="F126" s="230" t="s">
        <v>447</v>
      </c>
      <c r="G126" s="5"/>
      <c r="H126" s="5"/>
      <c r="I126" s="5"/>
      <c r="J126" s="5"/>
      <c r="K126" s="133"/>
      <c r="L126" s="135"/>
      <c r="M126" s="152"/>
    </row>
    <row r="127" spans="1:13">
      <c r="A127" s="231"/>
      <c r="B127" s="139" t="s">
        <v>22</v>
      </c>
      <c r="C127" s="5">
        <v>1</v>
      </c>
      <c r="D127" s="5"/>
      <c r="E127" s="5"/>
      <c r="F127" s="231"/>
      <c r="G127" s="5">
        <v>8</v>
      </c>
      <c r="H127" s="5">
        <v>100</v>
      </c>
      <c r="I127" s="5">
        <f t="shared" ref="I127" si="19">ROUND(2.48/0.1+1,0)</f>
        <v>26</v>
      </c>
      <c r="J127" s="5">
        <v>1.64</v>
      </c>
      <c r="K127" s="133">
        <f t="shared" si="6"/>
        <v>42.64</v>
      </c>
      <c r="L127" s="135">
        <f t="shared" si="7"/>
        <v>0.39457459926017263</v>
      </c>
      <c r="M127" s="152">
        <f t="shared" si="8"/>
        <v>16.824660912453762</v>
      </c>
    </row>
    <row r="128" spans="1:13">
      <c r="A128" s="231"/>
      <c r="B128" s="139" t="s">
        <v>25</v>
      </c>
      <c r="C128" s="5">
        <v>1</v>
      </c>
      <c r="D128" s="5"/>
      <c r="E128" s="5"/>
      <c r="F128" s="231"/>
      <c r="G128" s="5">
        <v>8</v>
      </c>
      <c r="H128" s="5">
        <v>100</v>
      </c>
      <c r="I128" s="5">
        <f>ROUND(2.48/0.1+1,0)</f>
        <v>26</v>
      </c>
      <c r="J128" s="5">
        <v>0.53</v>
      </c>
      <c r="K128" s="133">
        <f t="shared" si="6"/>
        <v>13.780000000000001</v>
      </c>
      <c r="L128" s="135">
        <f t="shared" si="7"/>
        <v>0.39457459926017263</v>
      </c>
      <c r="M128" s="152">
        <f t="shared" si="8"/>
        <v>5.4372379778051796</v>
      </c>
    </row>
    <row r="129" spans="1:13">
      <c r="A129" s="231"/>
      <c r="B129" s="139" t="s">
        <v>26</v>
      </c>
      <c r="C129" s="5">
        <v>1</v>
      </c>
      <c r="D129" s="5"/>
      <c r="E129" s="5"/>
      <c r="F129" s="231"/>
      <c r="G129" s="5">
        <v>8</v>
      </c>
      <c r="H129" s="5">
        <v>100</v>
      </c>
      <c r="I129" s="5">
        <f t="shared" ref="I129:I131" si="20">ROUND(2.48/0.1+1,0)</f>
        <v>26</v>
      </c>
      <c r="J129" s="5">
        <v>0.53</v>
      </c>
      <c r="K129" s="133">
        <f t="shared" si="6"/>
        <v>13.780000000000001</v>
      </c>
      <c r="L129" s="135">
        <f t="shared" si="7"/>
        <v>0.39457459926017263</v>
      </c>
      <c r="M129" s="152">
        <f t="shared" si="8"/>
        <v>5.4372379778051796</v>
      </c>
    </row>
    <row r="130" spans="1:13">
      <c r="A130" s="231"/>
      <c r="B130" s="139" t="s">
        <v>27</v>
      </c>
      <c r="C130" s="5">
        <v>1</v>
      </c>
      <c r="D130" s="5"/>
      <c r="E130" s="5"/>
      <c r="F130" s="231"/>
      <c r="G130" s="5">
        <v>8</v>
      </c>
      <c r="H130" s="5">
        <v>100</v>
      </c>
      <c r="I130" s="5">
        <f t="shared" si="20"/>
        <v>26</v>
      </c>
      <c r="J130" s="5">
        <v>0.53</v>
      </c>
      <c r="K130" s="133">
        <f t="shared" si="6"/>
        <v>13.780000000000001</v>
      </c>
      <c r="L130" s="135">
        <f t="shared" si="7"/>
        <v>0.39457459926017263</v>
      </c>
      <c r="M130" s="152">
        <f t="shared" si="8"/>
        <v>5.4372379778051796</v>
      </c>
    </row>
    <row r="131" spans="1:13">
      <c r="A131" s="232"/>
      <c r="B131" s="139" t="s">
        <v>28</v>
      </c>
      <c r="C131" s="5">
        <v>1</v>
      </c>
      <c r="D131" s="5"/>
      <c r="E131" s="5"/>
      <c r="F131" s="232"/>
      <c r="G131" s="5">
        <v>8</v>
      </c>
      <c r="H131" s="5">
        <v>100</v>
      </c>
      <c r="I131" s="5">
        <f t="shared" si="20"/>
        <v>26</v>
      </c>
      <c r="J131" s="5">
        <v>0.53</v>
      </c>
      <c r="K131" s="133">
        <f t="shared" si="6"/>
        <v>13.780000000000001</v>
      </c>
      <c r="L131" s="135">
        <f t="shared" si="7"/>
        <v>0.39457459926017263</v>
      </c>
      <c r="M131" s="152">
        <f t="shared" si="8"/>
        <v>5.4372379778051796</v>
      </c>
    </row>
    <row r="132" spans="1:13">
      <c r="A132" s="230">
        <v>9</v>
      </c>
      <c r="B132" s="141" t="s">
        <v>45</v>
      </c>
      <c r="C132" s="5"/>
      <c r="D132" s="5"/>
      <c r="E132" s="5"/>
      <c r="F132" s="230" t="s">
        <v>447</v>
      </c>
      <c r="G132" s="5"/>
      <c r="H132" s="5"/>
      <c r="I132" s="5"/>
      <c r="J132" s="5"/>
      <c r="K132" s="133"/>
      <c r="L132" s="135"/>
      <c r="M132" s="152"/>
    </row>
    <row r="133" spans="1:13">
      <c r="A133" s="231"/>
      <c r="B133" s="139" t="s">
        <v>22</v>
      </c>
      <c r="C133" s="5">
        <v>2</v>
      </c>
      <c r="D133" s="5"/>
      <c r="E133" s="5"/>
      <c r="F133" s="231"/>
      <c r="G133" s="5">
        <v>8</v>
      </c>
      <c r="H133" s="5">
        <v>100</v>
      </c>
      <c r="I133" s="5">
        <f t="shared" ref="I133" si="21">ROUND(2.48/0.1+1,0)</f>
        <v>26</v>
      </c>
      <c r="J133" s="5">
        <v>2.09</v>
      </c>
      <c r="K133" s="133">
        <f t="shared" ref="K133:K153" si="22">I133*J133</f>
        <v>54.339999999999996</v>
      </c>
      <c r="L133" s="135">
        <f t="shared" ref="L133:L153" si="23">G133*G133/162.2</f>
        <v>0.39457459926017263</v>
      </c>
      <c r="M133" s="152">
        <f t="shared" ref="M133:M153" si="24">(K133*L133*C133)</f>
        <v>42.882367447595556</v>
      </c>
    </row>
    <row r="134" spans="1:13">
      <c r="A134" s="231"/>
      <c r="B134" s="139" t="s">
        <v>23</v>
      </c>
      <c r="C134" s="5">
        <v>2</v>
      </c>
      <c r="D134" s="5"/>
      <c r="E134" s="5"/>
      <c r="F134" s="231"/>
      <c r="G134" s="5">
        <v>8</v>
      </c>
      <c r="H134" s="5">
        <v>100</v>
      </c>
      <c r="I134" s="5">
        <f>ROUND(2.48/0.1+1,0)</f>
        <v>26</v>
      </c>
      <c r="J134" s="5">
        <v>1.26</v>
      </c>
      <c r="K134" s="133">
        <f t="shared" si="22"/>
        <v>32.76</v>
      </c>
      <c r="L134" s="135">
        <f t="shared" si="23"/>
        <v>0.39457459926017263</v>
      </c>
      <c r="M134" s="152">
        <f t="shared" si="24"/>
        <v>25.852527743526508</v>
      </c>
    </row>
    <row r="135" spans="1:13">
      <c r="A135" s="231"/>
      <c r="B135" s="139" t="s">
        <v>24</v>
      </c>
      <c r="C135" s="5">
        <v>2</v>
      </c>
      <c r="D135" s="5"/>
      <c r="E135" s="5"/>
      <c r="F135" s="231"/>
      <c r="G135" s="5">
        <v>8</v>
      </c>
      <c r="H135" s="5">
        <v>100</v>
      </c>
      <c r="I135" s="5">
        <f t="shared" ref="I135:I140" si="25">ROUND(2.48/0.1+1,0)</f>
        <v>26</v>
      </c>
      <c r="J135" s="5">
        <v>1.26</v>
      </c>
      <c r="K135" s="133">
        <f t="shared" si="22"/>
        <v>32.76</v>
      </c>
      <c r="L135" s="135">
        <f t="shared" si="23"/>
        <v>0.39457459926017263</v>
      </c>
      <c r="M135" s="152">
        <f t="shared" si="24"/>
        <v>25.852527743526508</v>
      </c>
    </row>
    <row r="136" spans="1:13">
      <c r="A136" s="231"/>
      <c r="B136" s="139" t="s">
        <v>30</v>
      </c>
      <c r="C136" s="5">
        <v>2</v>
      </c>
      <c r="D136" s="5"/>
      <c r="E136" s="5"/>
      <c r="F136" s="231"/>
      <c r="G136" s="5">
        <v>8</v>
      </c>
      <c r="H136" s="5">
        <v>100</v>
      </c>
      <c r="I136" s="5">
        <f t="shared" si="25"/>
        <v>26</v>
      </c>
      <c r="J136" s="5">
        <v>1.26</v>
      </c>
      <c r="K136" s="133">
        <f t="shared" si="22"/>
        <v>32.76</v>
      </c>
      <c r="L136" s="135">
        <f t="shared" si="23"/>
        <v>0.39457459926017263</v>
      </c>
      <c r="M136" s="152">
        <f t="shared" si="24"/>
        <v>25.852527743526508</v>
      </c>
    </row>
    <row r="137" spans="1:13">
      <c r="A137" s="232"/>
      <c r="B137" s="139" t="s">
        <v>31</v>
      </c>
      <c r="C137" s="5">
        <v>2</v>
      </c>
      <c r="D137" s="5"/>
      <c r="E137" s="5"/>
      <c r="F137" s="232"/>
      <c r="G137" s="5">
        <v>8</v>
      </c>
      <c r="H137" s="5">
        <v>100</v>
      </c>
      <c r="I137" s="5">
        <f t="shared" si="25"/>
        <v>26</v>
      </c>
      <c r="J137" s="5">
        <v>1.26</v>
      </c>
      <c r="K137" s="133">
        <f t="shared" si="22"/>
        <v>32.76</v>
      </c>
      <c r="L137" s="135">
        <f t="shared" si="23"/>
        <v>0.39457459926017263</v>
      </c>
      <c r="M137" s="152">
        <f t="shared" si="24"/>
        <v>25.852527743526508</v>
      </c>
    </row>
    <row r="138" spans="1:13">
      <c r="A138" s="230">
        <v>10</v>
      </c>
      <c r="B138" s="141" t="s">
        <v>46</v>
      </c>
      <c r="C138" s="5"/>
      <c r="D138" s="5"/>
      <c r="E138" s="5"/>
      <c r="F138" s="230" t="s">
        <v>447</v>
      </c>
      <c r="G138" s="5"/>
      <c r="H138" s="5"/>
      <c r="I138" s="5"/>
      <c r="J138" s="5"/>
      <c r="K138" s="133"/>
      <c r="L138" s="135"/>
      <c r="M138" s="152"/>
    </row>
    <row r="139" spans="1:13">
      <c r="A139" s="231"/>
      <c r="B139" s="139" t="s">
        <v>22</v>
      </c>
      <c r="C139" s="5">
        <v>2</v>
      </c>
      <c r="D139" s="5"/>
      <c r="E139" s="5"/>
      <c r="F139" s="231"/>
      <c r="G139" s="5">
        <v>8</v>
      </c>
      <c r="H139" s="5">
        <v>100</v>
      </c>
      <c r="I139" s="5">
        <f t="shared" si="25"/>
        <v>26</v>
      </c>
      <c r="J139" s="5">
        <v>2.09</v>
      </c>
      <c r="K139" s="133">
        <f t="shared" si="22"/>
        <v>54.339999999999996</v>
      </c>
      <c r="L139" s="135">
        <f t="shared" si="23"/>
        <v>0.39457459926017263</v>
      </c>
      <c r="M139" s="152">
        <f t="shared" si="24"/>
        <v>42.882367447595556</v>
      </c>
    </row>
    <row r="140" spans="1:13">
      <c r="A140" s="231"/>
      <c r="B140" s="139" t="s">
        <v>23</v>
      </c>
      <c r="C140" s="5">
        <v>2</v>
      </c>
      <c r="D140" s="5"/>
      <c r="E140" s="5"/>
      <c r="F140" s="232"/>
      <c r="G140" s="5">
        <v>8</v>
      </c>
      <c r="H140" s="5">
        <v>100</v>
      </c>
      <c r="I140" s="5">
        <f t="shared" si="25"/>
        <v>26</v>
      </c>
      <c r="J140" s="5">
        <v>2.09</v>
      </c>
      <c r="K140" s="133">
        <f t="shared" si="22"/>
        <v>54.339999999999996</v>
      </c>
      <c r="L140" s="135">
        <f t="shared" si="23"/>
        <v>0.39457459926017263</v>
      </c>
      <c r="M140" s="152">
        <f t="shared" si="24"/>
        <v>42.882367447595556</v>
      </c>
    </row>
    <row r="141" spans="1:13">
      <c r="A141" s="231"/>
      <c r="B141" s="141" t="s">
        <v>401</v>
      </c>
      <c r="C141" s="5"/>
      <c r="D141" s="5"/>
      <c r="E141" s="5"/>
      <c r="F141" s="230" t="s">
        <v>448</v>
      </c>
      <c r="G141" s="5"/>
      <c r="H141" s="5"/>
      <c r="I141" s="5"/>
      <c r="J141" s="5"/>
      <c r="K141" s="133"/>
      <c r="L141" s="135"/>
      <c r="M141" s="152"/>
    </row>
    <row r="142" spans="1:13">
      <c r="A142" s="231"/>
      <c r="B142" s="139" t="s">
        <v>22</v>
      </c>
      <c r="C142" s="5">
        <v>1</v>
      </c>
      <c r="D142" s="5"/>
      <c r="E142" s="5"/>
      <c r="F142" s="231"/>
      <c r="G142" s="5">
        <v>8</v>
      </c>
      <c r="H142" s="5">
        <v>100</v>
      </c>
      <c r="I142" s="5">
        <f>ROUND(3.33/0.1+1,0)</f>
        <v>34</v>
      </c>
      <c r="J142" s="5">
        <v>4.97</v>
      </c>
      <c r="K142" s="133">
        <f t="shared" si="22"/>
        <v>168.98</v>
      </c>
      <c r="L142" s="135">
        <f t="shared" si="23"/>
        <v>0.39457459926017263</v>
      </c>
      <c r="M142" s="152">
        <f t="shared" si="24"/>
        <v>66.675215782983969</v>
      </c>
    </row>
    <row r="143" spans="1:13">
      <c r="A143" s="231"/>
      <c r="B143" s="139" t="s">
        <v>23</v>
      </c>
      <c r="C143" s="5">
        <v>1</v>
      </c>
      <c r="D143" s="5"/>
      <c r="E143" s="5"/>
      <c r="F143" s="231"/>
      <c r="G143" s="5">
        <v>8</v>
      </c>
      <c r="H143" s="5">
        <v>100</v>
      </c>
      <c r="I143" s="5">
        <f t="shared" ref="I143:I153" si="26">ROUND(3.33/0.1+1,0)</f>
        <v>34</v>
      </c>
      <c r="J143" s="5">
        <v>1.67</v>
      </c>
      <c r="K143" s="133">
        <f t="shared" si="22"/>
        <v>56.78</v>
      </c>
      <c r="L143" s="135">
        <f t="shared" si="23"/>
        <v>0.39457459926017263</v>
      </c>
      <c r="M143" s="152">
        <f t="shared" si="24"/>
        <v>22.403945745992601</v>
      </c>
    </row>
    <row r="144" spans="1:13">
      <c r="A144" s="231"/>
      <c r="B144" s="139" t="s">
        <v>24</v>
      </c>
      <c r="C144" s="5">
        <v>1</v>
      </c>
      <c r="D144" s="5"/>
      <c r="E144" s="5"/>
      <c r="F144" s="231"/>
      <c r="G144" s="5">
        <v>8</v>
      </c>
      <c r="H144" s="5">
        <v>100</v>
      </c>
      <c r="I144" s="5">
        <f t="shared" si="26"/>
        <v>34</v>
      </c>
      <c r="J144" s="5">
        <v>1.67</v>
      </c>
      <c r="K144" s="133">
        <f t="shared" si="22"/>
        <v>56.78</v>
      </c>
      <c r="L144" s="135">
        <f t="shared" si="23"/>
        <v>0.39457459926017263</v>
      </c>
      <c r="M144" s="152">
        <f t="shared" si="24"/>
        <v>22.403945745992601</v>
      </c>
    </row>
    <row r="145" spans="1:20">
      <c r="A145" s="231"/>
      <c r="B145" s="139" t="s">
        <v>30</v>
      </c>
      <c r="C145" s="5">
        <v>1</v>
      </c>
      <c r="D145" s="5"/>
      <c r="E145" s="5"/>
      <c r="F145" s="231"/>
      <c r="G145" s="5">
        <v>8</v>
      </c>
      <c r="H145" s="5">
        <v>100</v>
      </c>
      <c r="I145" s="5">
        <f t="shared" si="26"/>
        <v>34</v>
      </c>
      <c r="J145" s="5">
        <v>1.67</v>
      </c>
      <c r="K145" s="133">
        <f t="shared" si="22"/>
        <v>56.78</v>
      </c>
      <c r="L145" s="135">
        <f t="shared" si="23"/>
        <v>0.39457459926017263</v>
      </c>
      <c r="M145" s="152">
        <f t="shared" si="24"/>
        <v>22.403945745992601</v>
      </c>
    </row>
    <row r="146" spans="1:20">
      <c r="A146" s="231"/>
      <c r="B146" s="139" t="s">
        <v>31</v>
      </c>
      <c r="C146" s="5">
        <v>1</v>
      </c>
      <c r="D146" s="5"/>
      <c r="E146" s="5"/>
      <c r="F146" s="231"/>
      <c r="G146" s="5">
        <v>8</v>
      </c>
      <c r="H146" s="5">
        <v>100</v>
      </c>
      <c r="I146" s="5">
        <f t="shared" si="26"/>
        <v>34</v>
      </c>
      <c r="J146" s="5">
        <v>1.66</v>
      </c>
      <c r="K146" s="133">
        <f t="shared" si="22"/>
        <v>56.44</v>
      </c>
      <c r="L146" s="135">
        <f t="shared" si="23"/>
        <v>0.39457459926017263</v>
      </c>
      <c r="M146" s="152">
        <f t="shared" si="24"/>
        <v>22.269790382244143</v>
      </c>
    </row>
    <row r="147" spans="1:20">
      <c r="A147" s="231"/>
      <c r="B147" s="139" t="s">
        <v>32</v>
      </c>
      <c r="C147" s="5">
        <v>1</v>
      </c>
      <c r="D147" s="5"/>
      <c r="E147" s="5"/>
      <c r="F147" s="231"/>
      <c r="G147" s="5">
        <v>8</v>
      </c>
      <c r="H147" s="5">
        <v>100</v>
      </c>
      <c r="I147" s="5">
        <f t="shared" si="26"/>
        <v>34</v>
      </c>
      <c r="J147" s="5">
        <v>1.66</v>
      </c>
      <c r="K147" s="133">
        <f t="shared" si="22"/>
        <v>56.44</v>
      </c>
      <c r="L147" s="135">
        <f t="shared" si="23"/>
        <v>0.39457459926017263</v>
      </c>
      <c r="M147" s="152">
        <f t="shared" si="24"/>
        <v>22.269790382244143</v>
      </c>
    </row>
    <row r="148" spans="1:20">
      <c r="A148" s="231"/>
      <c r="B148" s="25" t="s">
        <v>25</v>
      </c>
      <c r="C148" s="5">
        <v>1</v>
      </c>
      <c r="D148" s="5"/>
      <c r="E148" s="5"/>
      <c r="F148" s="231"/>
      <c r="G148" s="5">
        <v>8</v>
      </c>
      <c r="H148" s="5">
        <v>100</v>
      </c>
      <c r="I148" s="5">
        <f t="shared" si="26"/>
        <v>34</v>
      </c>
      <c r="J148" s="5">
        <v>0.68</v>
      </c>
      <c r="K148" s="133">
        <f t="shared" si="22"/>
        <v>23.12</v>
      </c>
      <c r="L148" s="135">
        <f t="shared" si="23"/>
        <v>0.39457459926017263</v>
      </c>
      <c r="M148" s="152">
        <f t="shared" si="24"/>
        <v>9.1225647348951924</v>
      </c>
    </row>
    <row r="149" spans="1:20">
      <c r="A149" s="231"/>
      <c r="B149" s="25" t="s">
        <v>26</v>
      </c>
      <c r="C149" s="5">
        <v>1</v>
      </c>
      <c r="D149" s="5"/>
      <c r="E149" s="5"/>
      <c r="F149" s="231"/>
      <c r="G149" s="5">
        <v>8</v>
      </c>
      <c r="H149" s="5">
        <v>100</v>
      </c>
      <c r="I149" s="5">
        <f t="shared" si="26"/>
        <v>34</v>
      </c>
      <c r="J149" s="5">
        <v>0.68</v>
      </c>
      <c r="K149" s="133">
        <f t="shared" si="22"/>
        <v>23.12</v>
      </c>
      <c r="L149" s="135">
        <f t="shared" si="23"/>
        <v>0.39457459926017263</v>
      </c>
      <c r="M149" s="152">
        <f t="shared" si="24"/>
        <v>9.1225647348951924</v>
      </c>
    </row>
    <row r="150" spans="1:20">
      <c r="A150" s="231"/>
      <c r="B150" s="25" t="s">
        <v>27</v>
      </c>
      <c r="C150" s="5">
        <v>1</v>
      </c>
      <c r="D150" s="5"/>
      <c r="E150" s="5"/>
      <c r="F150" s="231"/>
      <c r="G150" s="5">
        <v>8</v>
      </c>
      <c r="H150" s="5">
        <v>100</v>
      </c>
      <c r="I150" s="5">
        <f>ROUND(3.33/0.1+1,0)</f>
        <v>34</v>
      </c>
      <c r="J150" s="5">
        <v>0.53</v>
      </c>
      <c r="K150" s="133">
        <f t="shared" si="22"/>
        <v>18.02</v>
      </c>
      <c r="L150" s="135">
        <f t="shared" si="23"/>
        <v>0.39457459926017263</v>
      </c>
      <c r="M150" s="152">
        <f t="shared" si="24"/>
        <v>7.1102342786683108</v>
      </c>
    </row>
    <row r="151" spans="1:20">
      <c r="A151" s="231"/>
      <c r="B151" s="25" t="s">
        <v>28</v>
      </c>
      <c r="C151" s="5">
        <v>1</v>
      </c>
      <c r="D151" s="5"/>
      <c r="E151" s="5"/>
      <c r="F151" s="231"/>
      <c r="G151" s="5">
        <v>8</v>
      </c>
      <c r="H151" s="5">
        <v>100</v>
      </c>
      <c r="I151" s="5">
        <f t="shared" si="26"/>
        <v>34</v>
      </c>
      <c r="J151" s="5">
        <v>0.53</v>
      </c>
      <c r="K151" s="133">
        <f t="shared" si="22"/>
        <v>18.02</v>
      </c>
      <c r="L151" s="135">
        <f t="shared" si="23"/>
        <v>0.39457459926017263</v>
      </c>
      <c r="M151" s="152">
        <f t="shared" si="24"/>
        <v>7.1102342786683108</v>
      </c>
    </row>
    <row r="152" spans="1:20">
      <c r="A152" s="231"/>
      <c r="B152" s="25" t="s">
        <v>29</v>
      </c>
      <c r="C152" s="5">
        <v>1</v>
      </c>
      <c r="D152" s="5"/>
      <c r="E152" s="5"/>
      <c r="F152" s="231"/>
      <c r="G152" s="5">
        <v>8</v>
      </c>
      <c r="H152" s="5">
        <v>100</v>
      </c>
      <c r="I152" s="5">
        <f t="shared" si="26"/>
        <v>34</v>
      </c>
      <c r="J152" s="5">
        <v>0.38</v>
      </c>
      <c r="K152" s="133">
        <f t="shared" si="22"/>
        <v>12.92</v>
      </c>
      <c r="L152" s="135">
        <f t="shared" si="23"/>
        <v>0.39457459926017263</v>
      </c>
      <c r="M152" s="152">
        <f t="shared" si="24"/>
        <v>5.0979038224414301</v>
      </c>
    </row>
    <row r="153" spans="1:20">
      <c r="A153" s="232"/>
      <c r="B153" s="25" t="s">
        <v>33</v>
      </c>
      <c r="C153" s="5">
        <v>1</v>
      </c>
      <c r="D153" s="5"/>
      <c r="E153" s="5"/>
      <c r="F153" s="232"/>
      <c r="G153" s="5">
        <v>8</v>
      </c>
      <c r="H153" s="5">
        <v>100</v>
      </c>
      <c r="I153" s="5">
        <f t="shared" si="26"/>
        <v>34</v>
      </c>
      <c r="J153" s="5">
        <v>0.38</v>
      </c>
      <c r="K153" s="133">
        <f t="shared" si="22"/>
        <v>12.92</v>
      </c>
      <c r="L153" s="135">
        <f t="shared" si="23"/>
        <v>0.39457459926017263</v>
      </c>
      <c r="M153" s="152">
        <f t="shared" si="24"/>
        <v>5.0979038224414301</v>
      </c>
    </row>
    <row r="154" spans="1:20">
      <c r="A154" s="5"/>
      <c r="B154" s="237" t="s">
        <v>450</v>
      </c>
      <c r="C154" s="238"/>
      <c r="D154" s="238"/>
      <c r="E154" s="238"/>
      <c r="F154" s="238"/>
      <c r="G154" s="238"/>
      <c r="H154" s="238"/>
      <c r="I154" s="238"/>
      <c r="J154" s="239"/>
      <c r="K154" s="133"/>
      <c r="L154" s="135"/>
      <c r="M154" s="152"/>
    </row>
    <row r="155" spans="1:20">
      <c r="A155" s="230">
        <v>1</v>
      </c>
      <c r="B155" s="44" t="s">
        <v>451</v>
      </c>
      <c r="C155" s="5"/>
      <c r="D155" s="5"/>
      <c r="E155" s="5"/>
      <c r="F155" s="230" t="s">
        <v>452</v>
      </c>
      <c r="G155" s="5"/>
      <c r="H155" s="5"/>
      <c r="I155" s="5"/>
      <c r="J155" s="5"/>
      <c r="K155" s="133"/>
      <c r="L155" s="135"/>
      <c r="M155" s="152"/>
    </row>
    <row r="156" spans="1:20">
      <c r="A156" s="231"/>
      <c r="B156" s="139" t="s">
        <v>404</v>
      </c>
      <c r="C156" s="5">
        <v>1</v>
      </c>
      <c r="D156" s="5"/>
      <c r="E156" s="5"/>
      <c r="F156" s="231"/>
      <c r="G156" s="5">
        <v>20</v>
      </c>
      <c r="H156" s="5"/>
      <c r="I156" s="5">
        <v>3</v>
      </c>
      <c r="J156" s="5">
        <v>27.5</v>
      </c>
      <c r="K156" s="133">
        <f t="shared" ref="K156:K172" si="27">I156*J156</f>
        <v>82.5</v>
      </c>
      <c r="L156" s="135">
        <f t="shared" ref="L156:L172" si="28">G156*G156/162.2</f>
        <v>2.466091245376079</v>
      </c>
      <c r="M156" s="152">
        <f t="shared" ref="M156:M172" si="29">(K156*L156*C156)</f>
        <v>203.45252774352653</v>
      </c>
    </row>
    <row r="157" spans="1:20">
      <c r="A157" s="231"/>
      <c r="B157" s="139" t="s">
        <v>404</v>
      </c>
      <c r="C157" s="5">
        <v>1</v>
      </c>
      <c r="D157" s="5"/>
      <c r="E157" s="5"/>
      <c r="F157" s="231"/>
      <c r="G157" s="5">
        <v>16</v>
      </c>
      <c r="H157" s="5"/>
      <c r="I157" s="5">
        <v>3</v>
      </c>
      <c r="J157" s="5">
        <v>27.1</v>
      </c>
      <c r="K157" s="133">
        <f t="shared" si="27"/>
        <v>81.300000000000011</v>
      </c>
      <c r="L157" s="135">
        <f t="shared" si="28"/>
        <v>1.5782983970406905</v>
      </c>
      <c r="M157" s="152">
        <f t="shared" si="29"/>
        <v>128.31565967940816</v>
      </c>
    </row>
    <row r="158" spans="1:20">
      <c r="A158" s="231"/>
      <c r="B158" s="139" t="s">
        <v>403</v>
      </c>
      <c r="C158" s="5">
        <v>1</v>
      </c>
      <c r="D158" s="5"/>
      <c r="E158" s="5"/>
      <c r="F158" s="231"/>
      <c r="G158" s="5">
        <v>20</v>
      </c>
      <c r="H158" s="5"/>
      <c r="I158" s="5">
        <v>3</v>
      </c>
      <c r="J158" s="5">
        <v>27.5</v>
      </c>
      <c r="K158" s="133">
        <f t="shared" si="27"/>
        <v>82.5</v>
      </c>
      <c r="L158" s="135">
        <f t="shared" si="28"/>
        <v>2.466091245376079</v>
      </c>
      <c r="M158" s="152">
        <f t="shared" si="29"/>
        <v>203.45252774352653</v>
      </c>
    </row>
    <row r="159" spans="1:20">
      <c r="A159" s="231"/>
      <c r="B159" s="139" t="s">
        <v>407</v>
      </c>
      <c r="C159" s="5">
        <v>1</v>
      </c>
      <c r="D159" s="5"/>
      <c r="E159" s="5"/>
      <c r="F159" s="231"/>
      <c r="G159" s="5">
        <v>20</v>
      </c>
      <c r="H159" s="5"/>
      <c r="I159" s="142">
        <v>6</v>
      </c>
      <c r="J159" s="5">
        <v>1.8</v>
      </c>
      <c r="K159" s="133">
        <f t="shared" si="27"/>
        <v>10.8</v>
      </c>
      <c r="L159" s="135">
        <f t="shared" si="28"/>
        <v>2.466091245376079</v>
      </c>
      <c r="M159" s="152">
        <f t="shared" si="29"/>
        <v>26.633785450061655</v>
      </c>
      <c r="P159" s="143"/>
      <c r="Q159" s="143"/>
      <c r="R159" s="143"/>
      <c r="S159" s="143"/>
      <c r="T159" s="143"/>
    </row>
    <row r="160" spans="1:20" ht="13.75" customHeight="1">
      <c r="A160" s="231"/>
      <c r="B160" s="139" t="s">
        <v>407</v>
      </c>
      <c r="C160" s="5">
        <v>1</v>
      </c>
      <c r="D160" s="5"/>
      <c r="E160" s="5"/>
      <c r="F160" s="231"/>
      <c r="G160" s="5">
        <v>20</v>
      </c>
      <c r="H160" s="5"/>
      <c r="I160" s="142">
        <v>9</v>
      </c>
      <c r="J160" s="5">
        <v>3.2</v>
      </c>
      <c r="K160" s="133">
        <f t="shared" si="27"/>
        <v>28.8</v>
      </c>
      <c r="L160" s="135">
        <f t="shared" si="28"/>
        <v>2.466091245376079</v>
      </c>
      <c r="M160" s="152">
        <f t="shared" si="29"/>
        <v>71.023427866831085</v>
      </c>
    </row>
    <row r="161" spans="1:20" ht="13.75" customHeight="1">
      <c r="A161" s="231"/>
      <c r="B161" s="139" t="s">
        <v>453</v>
      </c>
      <c r="C161" s="5">
        <v>1</v>
      </c>
      <c r="D161" s="5"/>
      <c r="E161" s="5"/>
      <c r="F161" s="231"/>
      <c r="G161" s="5">
        <v>8</v>
      </c>
      <c r="H161" s="5">
        <v>100</v>
      </c>
      <c r="I161" s="142">
        <f>ROUND((5.75/3)/0.1+1, 0)</f>
        <v>20</v>
      </c>
      <c r="J161" s="5">
        <v>1.75</v>
      </c>
      <c r="K161" s="133">
        <f t="shared" si="27"/>
        <v>35</v>
      </c>
      <c r="L161" s="135">
        <f t="shared" si="28"/>
        <v>0.39457459926017263</v>
      </c>
      <c r="M161" s="152">
        <f t="shared" si="29"/>
        <v>13.810110974106042</v>
      </c>
    </row>
    <row r="162" spans="1:20" ht="13.75" customHeight="1">
      <c r="A162" s="231"/>
      <c r="B162" s="139" t="s">
        <v>454</v>
      </c>
      <c r="C162" s="5">
        <v>1</v>
      </c>
      <c r="D162" s="5"/>
      <c r="E162" s="5"/>
      <c r="F162" s="231"/>
      <c r="G162" s="5">
        <v>8</v>
      </c>
      <c r="H162" s="5">
        <v>150</v>
      </c>
      <c r="I162" s="142">
        <f>ROUND((5.75/3)/0.15+1, 0)</f>
        <v>14</v>
      </c>
      <c r="J162" s="5">
        <v>1.75</v>
      </c>
      <c r="K162" s="133">
        <f t="shared" si="27"/>
        <v>24.5</v>
      </c>
      <c r="L162" s="135">
        <f t="shared" si="28"/>
        <v>0.39457459926017263</v>
      </c>
      <c r="M162" s="152">
        <f t="shared" si="29"/>
        <v>9.667077681874229</v>
      </c>
    </row>
    <row r="163" spans="1:20">
      <c r="A163" s="231"/>
      <c r="B163" s="139" t="s">
        <v>455</v>
      </c>
      <c r="C163" s="5">
        <v>1</v>
      </c>
      <c r="D163" s="5"/>
      <c r="E163" s="5"/>
      <c r="F163" s="231"/>
      <c r="G163" s="5">
        <v>8</v>
      </c>
      <c r="H163" s="5">
        <v>100</v>
      </c>
      <c r="I163" s="142">
        <f>ROUND((5.75/3)/0.1+1, 0)</f>
        <v>20</v>
      </c>
      <c r="J163" s="5">
        <v>1.75</v>
      </c>
      <c r="K163" s="133">
        <f t="shared" si="27"/>
        <v>35</v>
      </c>
      <c r="L163" s="135">
        <f t="shared" si="28"/>
        <v>0.39457459926017263</v>
      </c>
      <c r="M163" s="152">
        <f t="shared" si="29"/>
        <v>13.810110974106042</v>
      </c>
    </row>
    <row r="164" spans="1:20" s="144" customFormat="1">
      <c r="A164" s="231"/>
      <c r="B164" s="139" t="s">
        <v>453</v>
      </c>
      <c r="C164" s="5">
        <v>1</v>
      </c>
      <c r="D164" s="5"/>
      <c r="E164" s="5"/>
      <c r="F164" s="231"/>
      <c r="G164" s="5">
        <v>8</v>
      </c>
      <c r="H164" s="5">
        <v>100</v>
      </c>
      <c r="I164" s="142">
        <f>ROUND((6.25/3)/0.1+1, 0)</f>
        <v>22</v>
      </c>
      <c r="J164" s="5">
        <v>1.75</v>
      </c>
      <c r="K164" s="133">
        <f t="shared" si="27"/>
        <v>38.5</v>
      </c>
      <c r="L164" s="135">
        <f t="shared" si="28"/>
        <v>0.39457459926017263</v>
      </c>
      <c r="M164" s="152">
        <f t="shared" si="29"/>
        <v>15.191122071516647</v>
      </c>
      <c r="P164" s="8"/>
      <c r="Q164" s="8"/>
      <c r="R164" s="229"/>
      <c r="S164" s="229"/>
      <c r="T164" s="34"/>
    </row>
    <row r="165" spans="1:20">
      <c r="A165" s="231"/>
      <c r="B165" s="139" t="s">
        <v>454</v>
      </c>
      <c r="C165" s="5">
        <v>1</v>
      </c>
      <c r="D165" s="5"/>
      <c r="E165" s="5"/>
      <c r="F165" s="231"/>
      <c r="G165" s="5">
        <v>8</v>
      </c>
      <c r="H165" s="5">
        <v>150</v>
      </c>
      <c r="I165" s="142">
        <f>ROUND((6.25/3)/0.15+1, 0)</f>
        <v>15</v>
      </c>
      <c r="J165" s="5">
        <v>1.75</v>
      </c>
      <c r="K165" s="133">
        <f t="shared" si="27"/>
        <v>26.25</v>
      </c>
      <c r="L165" s="135">
        <f t="shared" si="28"/>
        <v>0.39457459926017263</v>
      </c>
      <c r="M165" s="152">
        <f t="shared" si="29"/>
        <v>10.357583230579532</v>
      </c>
    </row>
    <row r="166" spans="1:20">
      <c r="A166" s="231"/>
      <c r="B166" s="139" t="s">
        <v>455</v>
      </c>
      <c r="C166" s="5">
        <v>1</v>
      </c>
      <c r="D166" s="5"/>
      <c r="E166" s="5"/>
      <c r="F166" s="231"/>
      <c r="G166" s="5">
        <v>8</v>
      </c>
      <c r="H166" s="5">
        <v>100</v>
      </c>
      <c r="I166" s="142">
        <f>ROUND((6.25/3)/0.1+1, 0)</f>
        <v>22</v>
      </c>
      <c r="J166" s="5">
        <v>1.75</v>
      </c>
      <c r="K166" s="133">
        <f t="shared" si="27"/>
        <v>38.5</v>
      </c>
      <c r="L166" s="135">
        <f t="shared" si="28"/>
        <v>0.39457459926017263</v>
      </c>
      <c r="M166" s="152">
        <f t="shared" si="29"/>
        <v>15.191122071516647</v>
      </c>
    </row>
    <row r="167" spans="1:20">
      <c r="A167" s="231"/>
      <c r="B167" s="139" t="s">
        <v>453</v>
      </c>
      <c r="C167" s="5">
        <v>1</v>
      </c>
      <c r="D167" s="5"/>
      <c r="E167" s="5"/>
      <c r="F167" s="231"/>
      <c r="G167" s="5">
        <v>8</v>
      </c>
      <c r="H167" s="5">
        <v>100</v>
      </c>
      <c r="I167" s="142">
        <f>ROUND((6/3)/0.1+1, 0)</f>
        <v>21</v>
      </c>
      <c r="J167" s="5">
        <v>1.75</v>
      </c>
      <c r="K167" s="133">
        <f t="shared" si="27"/>
        <v>36.75</v>
      </c>
      <c r="L167" s="135">
        <f t="shared" si="28"/>
        <v>0.39457459926017263</v>
      </c>
      <c r="M167" s="152">
        <f t="shared" si="29"/>
        <v>14.500616522811344</v>
      </c>
    </row>
    <row r="168" spans="1:20">
      <c r="A168" s="231"/>
      <c r="B168" s="139" t="s">
        <v>454</v>
      </c>
      <c r="C168" s="5">
        <v>1</v>
      </c>
      <c r="D168" s="5"/>
      <c r="E168" s="5"/>
      <c r="F168" s="231"/>
      <c r="G168" s="5">
        <v>8</v>
      </c>
      <c r="H168" s="5">
        <v>150</v>
      </c>
      <c r="I168" s="142">
        <f>ROUND((6/3)/0.15+1, 0)</f>
        <v>14</v>
      </c>
      <c r="J168" s="5">
        <v>1.75</v>
      </c>
      <c r="K168" s="133">
        <f t="shared" si="27"/>
        <v>24.5</v>
      </c>
      <c r="L168" s="135">
        <f t="shared" si="28"/>
        <v>0.39457459926017263</v>
      </c>
      <c r="M168" s="152">
        <f t="shared" si="29"/>
        <v>9.667077681874229</v>
      </c>
    </row>
    <row r="169" spans="1:20">
      <c r="A169" s="231"/>
      <c r="B169" s="139" t="s">
        <v>455</v>
      </c>
      <c r="C169" s="5">
        <v>1</v>
      </c>
      <c r="D169" s="5"/>
      <c r="E169" s="5"/>
      <c r="F169" s="231"/>
      <c r="G169" s="5">
        <v>8</v>
      </c>
      <c r="H169" s="5">
        <v>100</v>
      </c>
      <c r="I169" s="142">
        <f t="shared" ref="I169:I172" si="30">ROUND((6/3)/0.1+1, 0)</f>
        <v>21</v>
      </c>
      <c r="J169" s="5">
        <v>1.75</v>
      </c>
      <c r="K169" s="133">
        <f t="shared" si="27"/>
        <v>36.75</v>
      </c>
      <c r="L169" s="135">
        <f t="shared" si="28"/>
        <v>0.39457459926017263</v>
      </c>
      <c r="M169" s="152">
        <f t="shared" si="29"/>
        <v>14.500616522811344</v>
      </c>
    </row>
    <row r="170" spans="1:20">
      <c r="A170" s="231"/>
      <c r="B170" s="139" t="s">
        <v>453</v>
      </c>
      <c r="C170" s="5">
        <v>1</v>
      </c>
      <c r="D170" s="5"/>
      <c r="E170" s="5"/>
      <c r="F170" s="231"/>
      <c r="G170" s="5">
        <v>8</v>
      </c>
      <c r="H170" s="5">
        <v>100</v>
      </c>
      <c r="I170" s="142">
        <f t="shared" si="30"/>
        <v>21</v>
      </c>
      <c r="J170" s="5">
        <v>1.75</v>
      </c>
      <c r="K170" s="133">
        <f t="shared" si="27"/>
        <v>36.75</v>
      </c>
      <c r="L170" s="135">
        <f t="shared" si="28"/>
        <v>0.39457459926017263</v>
      </c>
      <c r="M170" s="152">
        <f t="shared" si="29"/>
        <v>14.500616522811344</v>
      </c>
    </row>
    <row r="171" spans="1:20">
      <c r="A171" s="231"/>
      <c r="B171" s="139" t="s">
        <v>454</v>
      </c>
      <c r="C171" s="5">
        <v>1</v>
      </c>
      <c r="D171" s="5"/>
      <c r="E171" s="5"/>
      <c r="F171" s="231"/>
      <c r="G171" s="5">
        <v>8</v>
      </c>
      <c r="H171" s="5">
        <v>150</v>
      </c>
      <c r="I171" s="142">
        <f>ROUND((6/3)/0.15+1, 0)</f>
        <v>14</v>
      </c>
      <c r="J171" s="5">
        <v>1.75</v>
      </c>
      <c r="K171" s="133">
        <f t="shared" si="27"/>
        <v>24.5</v>
      </c>
      <c r="L171" s="135">
        <f t="shared" si="28"/>
        <v>0.39457459926017263</v>
      </c>
      <c r="M171" s="152">
        <f t="shared" si="29"/>
        <v>9.667077681874229</v>
      </c>
    </row>
    <row r="172" spans="1:20">
      <c r="A172" s="232"/>
      <c r="B172" s="139" t="s">
        <v>455</v>
      </c>
      <c r="C172" s="5">
        <v>1</v>
      </c>
      <c r="D172" s="5"/>
      <c r="E172" s="5"/>
      <c r="F172" s="232"/>
      <c r="G172" s="5">
        <v>8</v>
      </c>
      <c r="H172" s="5">
        <v>100</v>
      </c>
      <c r="I172" s="142">
        <f t="shared" si="30"/>
        <v>21</v>
      </c>
      <c r="J172" s="5">
        <v>1.75</v>
      </c>
      <c r="K172" s="133">
        <f t="shared" si="27"/>
        <v>36.75</v>
      </c>
      <c r="L172" s="135">
        <f t="shared" si="28"/>
        <v>0.39457459926017263</v>
      </c>
      <c r="M172" s="152">
        <f t="shared" si="29"/>
        <v>14.500616522811344</v>
      </c>
    </row>
    <row r="173" spans="1:20">
      <c r="A173" s="230">
        <v>2</v>
      </c>
      <c r="B173" s="44" t="s">
        <v>456</v>
      </c>
      <c r="C173" s="5"/>
      <c r="D173" s="5"/>
      <c r="E173" s="5"/>
      <c r="F173" s="230" t="s">
        <v>452</v>
      </c>
      <c r="G173" s="5"/>
      <c r="H173" s="5"/>
      <c r="I173" s="5"/>
      <c r="J173" s="5"/>
      <c r="K173" s="133"/>
      <c r="L173" s="135"/>
      <c r="M173" s="152"/>
    </row>
    <row r="174" spans="1:20">
      <c r="A174" s="231"/>
      <c r="B174" s="139" t="s">
        <v>404</v>
      </c>
      <c r="C174" s="5">
        <v>1</v>
      </c>
      <c r="D174" s="5"/>
      <c r="E174" s="5"/>
      <c r="F174" s="231"/>
      <c r="G174" s="5">
        <v>20</v>
      </c>
      <c r="H174" s="5"/>
      <c r="I174" s="5">
        <v>3</v>
      </c>
      <c r="J174" s="5">
        <v>27.5</v>
      </c>
      <c r="K174" s="133">
        <f t="shared" ref="K174:K190" si="31">I174*J174</f>
        <v>82.5</v>
      </c>
      <c r="L174" s="135">
        <f t="shared" ref="L174:L190" si="32">G174*G174/162.2</f>
        <v>2.466091245376079</v>
      </c>
      <c r="M174" s="152">
        <f t="shared" ref="M174:M190" si="33">(K174*L174*C174)</f>
        <v>203.45252774352653</v>
      </c>
    </row>
    <row r="175" spans="1:20">
      <c r="A175" s="231"/>
      <c r="B175" s="139" t="s">
        <v>404</v>
      </c>
      <c r="C175" s="5">
        <v>1</v>
      </c>
      <c r="D175" s="5"/>
      <c r="E175" s="5"/>
      <c r="F175" s="231"/>
      <c r="G175" s="5">
        <v>16</v>
      </c>
      <c r="H175" s="5"/>
      <c r="I175" s="5">
        <v>3</v>
      </c>
      <c r="J175" s="5">
        <v>27.1</v>
      </c>
      <c r="K175" s="133">
        <f t="shared" si="31"/>
        <v>81.300000000000011</v>
      </c>
      <c r="L175" s="135">
        <f t="shared" si="32"/>
        <v>1.5782983970406905</v>
      </c>
      <c r="M175" s="152">
        <f t="shared" si="33"/>
        <v>128.31565967940816</v>
      </c>
    </row>
    <row r="176" spans="1:20">
      <c r="A176" s="231"/>
      <c r="B176" s="139" t="s">
        <v>403</v>
      </c>
      <c r="C176" s="5">
        <v>1</v>
      </c>
      <c r="D176" s="5"/>
      <c r="E176" s="5"/>
      <c r="F176" s="231"/>
      <c r="G176" s="5">
        <v>20</v>
      </c>
      <c r="H176" s="5"/>
      <c r="I176" s="5">
        <v>3</v>
      </c>
      <c r="J176" s="5">
        <v>27.5</v>
      </c>
      <c r="K176" s="133">
        <f t="shared" si="31"/>
        <v>82.5</v>
      </c>
      <c r="L176" s="135">
        <f t="shared" si="32"/>
        <v>2.466091245376079</v>
      </c>
      <c r="M176" s="152">
        <f t="shared" si="33"/>
        <v>203.45252774352653</v>
      </c>
    </row>
    <row r="177" spans="1:13">
      <c r="A177" s="231"/>
      <c r="B177" s="139" t="s">
        <v>407</v>
      </c>
      <c r="C177" s="5">
        <v>1</v>
      </c>
      <c r="D177" s="5"/>
      <c r="E177" s="5"/>
      <c r="F177" s="231"/>
      <c r="G177" s="5">
        <v>16</v>
      </c>
      <c r="H177" s="5"/>
      <c r="I177" s="5">
        <v>6</v>
      </c>
      <c r="J177" s="5">
        <v>1.8</v>
      </c>
      <c r="K177" s="133">
        <f t="shared" si="31"/>
        <v>10.8</v>
      </c>
      <c r="L177" s="135">
        <f t="shared" si="32"/>
        <v>1.5782983970406905</v>
      </c>
      <c r="M177" s="152">
        <f t="shared" si="33"/>
        <v>17.045622688039458</v>
      </c>
    </row>
    <row r="178" spans="1:13">
      <c r="A178" s="231"/>
      <c r="B178" s="139" t="s">
        <v>407</v>
      </c>
      <c r="C178" s="5">
        <v>1</v>
      </c>
      <c r="D178" s="5"/>
      <c r="E178" s="5"/>
      <c r="F178" s="231"/>
      <c r="G178" s="5">
        <v>16</v>
      </c>
      <c r="H178" s="5"/>
      <c r="I178" s="5">
        <v>9</v>
      </c>
      <c r="J178" s="5">
        <v>3.2</v>
      </c>
      <c r="K178" s="133">
        <f t="shared" si="31"/>
        <v>28.8</v>
      </c>
      <c r="L178" s="135">
        <f t="shared" si="32"/>
        <v>1.5782983970406905</v>
      </c>
      <c r="M178" s="152">
        <f t="shared" si="33"/>
        <v>45.454993834771891</v>
      </c>
    </row>
    <row r="179" spans="1:13">
      <c r="A179" s="231"/>
      <c r="B179" s="139" t="s">
        <v>453</v>
      </c>
      <c r="C179" s="5">
        <v>1</v>
      </c>
      <c r="D179" s="5"/>
      <c r="E179" s="5"/>
      <c r="F179" s="231"/>
      <c r="G179" s="5">
        <v>8</v>
      </c>
      <c r="H179" s="5">
        <v>100</v>
      </c>
      <c r="I179" s="142">
        <f>ROUND((5.75/3)/0.1+1, 0)</f>
        <v>20</v>
      </c>
      <c r="J179" s="5">
        <v>1.75</v>
      </c>
      <c r="K179" s="133">
        <f t="shared" si="31"/>
        <v>35</v>
      </c>
      <c r="L179" s="135">
        <f t="shared" si="32"/>
        <v>0.39457459926017263</v>
      </c>
      <c r="M179" s="152">
        <f t="shared" si="33"/>
        <v>13.810110974106042</v>
      </c>
    </row>
    <row r="180" spans="1:13">
      <c r="A180" s="231"/>
      <c r="B180" s="139" t="s">
        <v>454</v>
      </c>
      <c r="C180" s="5">
        <v>1</v>
      </c>
      <c r="D180" s="5"/>
      <c r="E180" s="5"/>
      <c r="F180" s="231"/>
      <c r="G180" s="5">
        <v>8</v>
      </c>
      <c r="H180" s="5">
        <v>150</v>
      </c>
      <c r="I180" s="142">
        <f>ROUND((5.75/3)/0.15+1, 0)</f>
        <v>14</v>
      </c>
      <c r="J180" s="5">
        <v>1.75</v>
      </c>
      <c r="K180" s="133">
        <f t="shared" si="31"/>
        <v>24.5</v>
      </c>
      <c r="L180" s="135">
        <f t="shared" si="32"/>
        <v>0.39457459926017263</v>
      </c>
      <c r="M180" s="152">
        <f t="shared" si="33"/>
        <v>9.667077681874229</v>
      </c>
    </row>
    <row r="181" spans="1:13">
      <c r="A181" s="231"/>
      <c r="B181" s="139" t="s">
        <v>455</v>
      </c>
      <c r="C181" s="5">
        <v>1</v>
      </c>
      <c r="D181" s="5"/>
      <c r="E181" s="5"/>
      <c r="F181" s="231"/>
      <c r="G181" s="5">
        <v>8</v>
      </c>
      <c r="H181" s="5">
        <v>100</v>
      </c>
      <c r="I181" s="142">
        <f>ROUND((5.75/3)/0.1+1, 0)</f>
        <v>20</v>
      </c>
      <c r="J181" s="5">
        <v>1.75</v>
      </c>
      <c r="K181" s="133">
        <f t="shared" si="31"/>
        <v>35</v>
      </c>
      <c r="L181" s="135">
        <f t="shared" si="32"/>
        <v>0.39457459926017263</v>
      </c>
      <c r="M181" s="152">
        <f t="shared" si="33"/>
        <v>13.810110974106042</v>
      </c>
    </row>
    <row r="182" spans="1:13">
      <c r="A182" s="231"/>
      <c r="B182" s="139" t="s">
        <v>453</v>
      </c>
      <c r="C182" s="5">
        <v>1</v>
      </c>
      <c r="D182" s="5"/>
      <c r="E182" s="5"/>
      <c r="F182" s="231"/>
      <c r="G182" s="5">
        <v>8</v>
      </c>
      <c r="H182" s="5">
        <v>100</v>
      </c>
      <c r="I182" s="142">
        <f>ROUND((6.25/3)/0.1+1, 0)</f>
        <v>22</v>
      </c>
      <c r="J182" s="5">
        <v>1.75</v>
      </c>
      <c r="K182" s="133">
        <f t="shared" si="31"/>
        <v>38.5</v>
      </c>
      <c r="L182" s="135">
        <f t="shared" si="32"/>
        <v>0.39457459926017263</v>
      </c>
      <c r="M182" s="152">
        <f t="shared" si="33"/>
        <v>15.191122071516647</v>
      </c>
    </row>
    <row r="183" spans="1:13">
      <c r="A183" s="231"/>
      <c r="B183" s="139" t="s">
        <v>454</v>
      </c>
      <c r="C183" s="5">
        <v>1</v>
      </c>
      <c r="D183" s="5"/>
      <c r="E183" s="5"/>
      <c r="F183" s="231"/>
      <c r="G183" s="5">
        <v>8</v>
      </c>
      <c r="H183" s="5">
        <v>150</v>
      </c>
      <c r="I183" s="142">
        <f>ROUND((6.25/3)/0.15+1, 0)</f>
        <v>15</v>
      </c>
      <c r="J183" s="5">
        <v>1.75</v>
      </c>
      <c r="K183" s="133">
        <f t="shared" si="31"/>
        <v>26.25</v>
      </c>
      <c r="L183" s="135">
        <f t="shared" si="32"/>
        <v>0.39457459926017263</v>
      </c>
      <c r="M183" s="152">
        <f t="shared" si="33"/>
        <v>10.357583230579532</v>
      </c>
    </row>
    <row r="184" spans="1:13">
      <c r="A184" s="231"/>
      <c r="B184" s="139" t="s">
        <v>455</v>
      </c>
      <c r="C184" s="5">
        <v>1</v>
      </c>
      <c r="D184" s="5"/>
      <c r="E184" s="5"/>
      <c r="F184" s="231"/>
      <c r="G184" s="5">
        <v>8</v>
      </c>
      <c r="H184" s="5">
        <v>100</v>
      </c>
      <c r="I184" s="142">
        <f>ROUND((6.25/3)/0.1+1, 0)</f>
        <v>22</v>
      </c>
      <c r="J184" s="5">
        <v>1.75</v>
      </c>
      <c r="K184" s="133">
        <f t="shared" si="31"/>
        <v>38.5</v>
      </c>
      <c r="L184" s="135">
        <f t="shared" si="32"/>
        <v>0.39457459926017263</v>
      </c>
      <c r="M184" s="152">
        <f t="shared" si="33"/>
        <v>15.191122071516647</v>
      </c>
    </row>
    <row r="185" spans="1:13">
      <c r="A185" s="231"/>
      <c r="B185" s="139" t="s">
        <v>453</v>
      </c>
      <c r="C185" s="5">
        <v>1</v>
      </c>
      <c r="D185" s="5"/>
      <c r="E185" s="5"/>
      <c r="F185" s="231"/>
      <c r="G185" s="5">
        <v>8</v>
      </c>
      <c r="H185" s="5">
        <v>100</v>
      </c>
      <c r="I185" s="142">
        <f>ROUND((6/3)/0.1+1, 0)</f>
        <v>21</v>
      </c>
      <c r="J185" s="5">
        <v>1.75</v>
      </c>
      <c r="K185" s="133">
        <f t="shared" si="31"/>
        <v>36.75</v>
      </c>
      <c r="L185" s="135">
        <f t="shared" si="32"/>
        <v>0.39457459926017263</v>
      </c>
      <c r="M185" s="152">
        <f t="shared" si="33"/>
        <v>14.500616522811344</v>
      </c>
    </row>
    <row r="186" spans="1:13">
      <c r="A186" s="231"/>
      <c r="B186" s="139" t="s">
        <v>454</v>
      </c>
      <c r="C186" s="5">
        <v>1</v>
      </c>
      <c r="D186" s="5"/>
      <c r="E186" s="5"/>
      <c r="F186" s="231"/>
      <c r="G186" s="5">
        <v>8</v>
      </c>
      <c r="H186" s="5">
        <v>150</v>
      </c>
      <c r="I186" s="142">
        <f>ROUND((6/3)/0.15+1, 0)</f>
        <v>14</v>
      </c>
      <c r="J186" s="5">
        <v>1.75</v>
      </c>
      <c r="K186" s="133">
        <f t="shared" si="31"/>
        <v>24.5</v>
      </c>
      <c r="L186" s="135">
        <f t="shared" si="32"/>
        <v>0.39457459926017263</v>
      </c>
      <c r="M186" s="152">
        <f t="shared" si="33"/>
        <v>9.667077681874229</v>
      </c>
    </row>
    <row r="187" spans="1:13">
      <c r="A187" s="231"/>
      <c r="B187" s="139" t="s">
        <v>455</v>
      </c>
      <c r="C187" s="5">
        <v>1</v>
      </c>
      <c r="D187" s="5"/>
      <c r="E187" s="5"/>
      <c r="F187" s="231"/>
      <c r="G187" s="5">
        <v>8</v>
      </c>
      <c r="H187" s="5">
        <v>100</v>
      </c>
      <c r="I187" s="142">
        <f t="shared" ref="I187:I190" si="34">ROUND((6/3)/0.1+1, 0)</f>
        <v>21</v>
      </c>
      <c r="J187" s="5">
        <v>1.75</v>
      </c>
      <c r="K187" s="133">
        <f t="shared" si="31"/>
        <v>36.75</v>
      </c>
      <c r="L187" s="135">
        <f t="shared" si="32"/>
        <v>0.39457459926017263</v>
      </c>
      <c r="M187" s="152">
        <f t="shared" si="33"/>
        <v>14.500616522811344</v>
      </c>
    </row>
    <row r="188" spans="1:13">
      <c r="A188" s="231"/>
      <c r="B188" s="139" t="s">
        <v>453</v>
      </c>
      <c r="C188" s="5">
        <v>1</v>
      </c>
      <c r="D188" s="5"/>
      <c r="E188" s="5"/>
      <c r="F188" s="231"/>
      <c r="G188" s="5">
        <v>8</v>
      </c>
      <c r="H188" s="5">
        <v>100</v>
      </c>
      <c r="I188" s="142">
        <f t="shared" si="34"/>
        <v>21</v>
      </c>
      <c r="J188" s="5">
        <v>1.75</v>
      </c>
      <c r="K188" s="133">
        <f t="shared" si="31"/>
        <v>36.75</v>
      </c>
      <c r="L188" s="135">
        <f t="shared" si="32"/>
        <v>0.39457459926017263</v>
      </c>
      <c r="M188" s="152">
        <f t="shared" si="33"/>
        <v>14.500616522811344</v>
      </c>
    </row>
    <row r="189" spans="1:13">
      <c r="A189" s="231"/>
      <c r="B189" s="139" t="s">
        <v>454</v>
      </c>
      <c r="C189" s="5">
        <v>1</v>
      </c>
      <c r="D189" s="5"/>
      <c r="E189" s="5"/>
      <c r="F189" s="231"/>
      <c r="G189" s="5">
        <v>8</v>
      </c>
      <c r="H189" s="5">
        <v>150</v>
      </c>
      <c r="I189" s="142">
        <f>ROUND((6/3)/0.15+1, 0)</f>
        <v>14</v>
      </c>
      <c r="J189" s="5">
        <v>1.75</v>
      </c>
      <c r="K189" s="133">
        <f t="shared" si="31"/>
        <v>24.5</v>
      </c>
      <c r="L189" s="135">
        <f t="shared" si="32"/>
        <v>0.39457459926017263</v>
      </c>
      <c r="M189" s="152">
        <f t="shared" si="33"/>
        <v>9.667077681874229</v>
      </c>
    </row>
    <row r="190" spans="1:13">
      <c r="A190" s="231"/>
      <c r="B190" s="139" t="s">
        <v>455</v>
      </c>
      <c r="C190" s="5">
        <v>1</v>
      </c>
      <c r="D190" s="5"/>
      <c r="E190" s="5"/>
      <c r="F190" s="231"/>
      <c r="G190" s="5">
        <v>8</v>
      </c>
      <c r="H190" s="5">
        <v>100</v>
      </c>
      <c r="I190" s="142">
        <f t="shared" si="34"/>
        <v>21</v>
      </c>
      <c r="J190" s="5">
        <v>1.75</v>
      </c>
      <c r="K190" s="133">
        <f t="shared" si="31"/>
        <v>36.75</v>
      </c>
      <c r="L190" s="135">
        <f t="shared" si="32"/>
        <v>0.39457459926017263</v>
      </c>
      <c r="M190" s="152">
        <f t="shared" si="33"/>
        <v>14.500616522811344</v>
      </c>
    </row>
    <row r="191" spans="1:13">
      <c r="A191" s="230">
        <v>3</v>
      </c>
      <c r="B191" s="44" t="s">
        <v>457</v>
      </c>
      <c r="C191" s="5"/>
      <c r="D191" s="5"/>
      <c r="E191" s="5"/>
      <c r="F191" s="230" t="s">
        <v>452</v>
      </c>
      <c r="G191" s="5"/>
      <c r="H191" s="5"/>
      <c r="I191" s="142"/>
      <c r="J191" s="5"/>
      <c r="K191" s="133"/>
      <c r="L191" s="135"/>
      <c r="M191" s="152"/>
    </row>
    <row r="192" spans="1:13">
      <c r="A192" s="231"/>
      <c r="B192" s="139" t="s">
        <v>404</v>
      </c>
      <c r="C192" s="5">
        <v>2</v>
      </c>
      <c r="D192" s="5"/>
      <c r="E192" s="5"/>
      <c r="F192" s="231"/>
      <c r="G192" s="5">
        <v>16</v>
      </c>
      <c r="H192" s="5"/>
      <c r="I192" s="26">
        <v>2</v>
      </c>
      <c r="J192" s="5">
        <v>23.13</v>
      </c>
      <c r="K192" s="133">
        <f t="shared" ref="K192:K210" si="35">I192*J192</f>
        <v>46.26</v>
      </c>
      <c r="L192" s="135">
        <f t="shared" ref="L192:L210" si="36">G192*G192/162.2</f>
        <v>1.5782983970406905</v>
      </c>
      <c r="M192" s="152">
        <f t="shared" ref="M192:M210" si="37">(K192*L192*C192)</f>
        <v>146.02416769420469</v>
      </c>
    </row>
    <row r="193" spans="1:13">
      <c r="A193" s="231"/>
      <c r="B193" s="139" t="s">
        <v>404</v>
      </c>
      <c r="C193" s="5">
        <v>2</v>
      </c>
      <c r="D193" s="5"/>
      <c r="E193" s="5"/>
      <c r="F193" s="231"/>
      <c r="G193" s="5">
        <v>12</v>
      </c>
      <c r="H193" s="5"/>
      <c r="I193" s="26">
        <v>1</v>
      </c>
      <c r="J193" s="5">
        <v>22.73</v>
      </c>
      <c r="K193" s="133">
        <f t="shared" si="35"/>
        <v>22.73</v>
      </c>
      <c r="L193" s="135">
        <f t="shared" si="36"/>
        <v>0.88779284833538852</v>
      </c>
      <c r="M193" s="152">
        <f t="shared" si="37"/>
        <v>40.359062885326765</v>
      </c>
    </row>
    <row r="194" spans="1:13">
      <c r="A194" s="231"/>
      <c r="B194" s="139" t="s">
        <v>403</v>
      </c>
      <c r="C194" s="5">
        <v>2</v>
      </c>
      <c r="D194" s="5"/>
      <c r="E194" s="5"/>
      <c r="F194" s="231"/>
      <c r="G194" s="5">
        <v>16</v>
      </c>
      <c r="H194" s="5"/>
      <c r="I194" s="26">
        <v>2</v>
      </c>
      <c r="J194" s="5">
        <v>23.13</v>
      </c>
      <c r="K194" s="133">
        <f t="shared" si="35"/>
        <v>46.26</v>
      </c>
      <c r="L194" s="135">
        <f t="shared" si="36"/>
        <v>1.5782983970406905</v>
      </c>
      <c r="M194" s="152">
        <f t="shared" si="37"/>
        <v>146.02416769420469</v>
      </c>
    </row>
    <row r="195" spans="1:13">
      <c r="A195" s="231"/>
      <c r="B195" s="139" t="s">
        <v>403</v>
      </c>
      <c r="C195" s="5">
        <v>2</v>
      </c>
      <c r="D195" s="5"/>
      <c r="E195" s="5"/>
      <c r="F195" s="231"/>
      <c r="G195" s="5">
        <v>12</v>
      </c>
      <c r="H195" s="5"/>
      <c r="I195" s="26">
        <v>1</v>
      </c>
      <c r="J195" s="5">
        <v>22.73</v>
      </c>
      <c r="K195" s="133">
        <f t="shared" si="35"/>
        <v>22.73</v>
      </c>
      <c r="L195" s="135">
        <f t="shared" si="36"/>
        <v>0.88779284833538852</v>
      </c>
      <c r="M195" s="152">
        <f t="shared" si="37"/>
        <v>40.359062885326765</v>
      </c>
    </row>
    <row r="196" spans="1:13">
      <c r="A196" s="231"/>
      <c r="B196" s="139" t="s">
        <v>458</v>
      </c>
      <c r="C196" s="5">
        <v>2</v>
      </c>
      <c r="D196" s="5"/>
      <c r="E196" s="5"/>
      <c r="F196" s="231"/>
      <c r="G196" s="5">
        <v>8</v>
      </c>
      <c r="H196" s="5">
        <v>100</v>
      </c>
      <c r="I196" s="142">
        <f>ROUND((4/3)/0.1+1, 0)</f>
        <v>14</v>
      </c>
      <c r="J196" s="5">
        <v>1.75</v>
      </c>
      <c r="K196" s="133">
        <f t="shared" si="35"/>
        <v>24.5</v>
      </c>
      <c r="L196" s="135">
        <f t="shared" si="36"/>
        <v>0.39457459926017263</v>
      </c>
      <c r="M196" s="152">
        <f t="shared" si="37"/>
        <v>19.334155363748458</v>
      </c>
    </row>
    <row r="197" spans="1:13">
      <c r="A197" s="231"/>
      <c r="B197" s="139" t="s">
        <v>459</v>
      </c>
      <c r="C197" s="5">
        <v>2</v>
      </c>
      <c r="D197" s="5"/>
      <c r="E197" s="5"/>
      <c r="F197" s="231"/>
      <c r="G197" s="5">
        <v>8</v>
      </c>
      <c r="H197" s="5">
        <v>150</v>
      </c>
      <c r="I197" s="142">
        <f>ROUND((4/3)/0.15+1, 0)</f>
        <v>10</v>
      </c>
      <c r="J197" s="5">
        <v>1.75</v>
      </c>
      <c r="K197" s="133">
        <f t="shared" si="35"/>
        <v>17.5</v>
      </c>
      <c r="L197" s="135">
        <f t="shared" si="36"/>
        <v>0.39457459926017263</v>
      </c>
      <c r="M197" s="152">
        <f t="shared" si="37"/>
        <v>13.810110974106042</v>
      </c>
    </row>
    <row r="198" spans="1:13">
      <c r="A198" s="231"/>
      <c r="B198" s="139" t="s">
        <v>460</v>
      </c>
      <c r="C198" s="5">
        <v>2</v>
      </c>
      <c r="D198" s="5"/>
      <c r="E198" s="5"/>
      <c r="F198" s="231"/>
      <c r="G198" s="5">
        <v>8</v>
      </c>
      <c r="H198" s="5">
        <v>100</v>
      </c>
      <c r="I198" s="142">
        <f t="shared" ref="I198" si="38">ROUND((4/3)/0.1+1, 0)</f>
        <v>14</v>
      </c>
      <c r="J198" s="5">
        <v>1.75</v>
      </c>
      <c r="K198" s="133">
        <f t="shared" si="35"/>
        <v>24.5</v>
      </c>
      <c r="L198" s="135">
        <f t="shared" si="36"/>
        <v>0.39457459926017263</v>
      </c>
      <c r="M198" s="152">
        <f t="shared" si="37"/>
        <v>19.334155363748458</v>
      </c>
    </row>
    <row r="199" spans="1:13">
      <c r="A199" s="231"/>
      <c r="B199" s="139" t="s">
        <v>461</v>
      </c>
      <c r="C199" s="5">
        <v>2</v>
      </c>
      <c r="D199" s="5"/>
      <c r="E199" s="5"/>
      <c r="F199" s="231"/>
      <c r="G199" s="5">
        <v>8</v>
      </c>
      <c r="H199" s="5">
        <v>100</v>
      </c>
      <c r="I199" s="142">
        <f>ROUND((3.5/3)/0.1+1, 0)</f>
        <v>13</v>
      </c>
      <c r="J199" s="5">
        <v>1.75</v>
      </c>
      <c r="K199" s="133">
        <f t="shared" si="35"/>
        <v>22.75</v>
      </c>
      <c r="L199" s="135">
        <f t="shared" si="36"/>
        <v>0.39457459926017263</v>
      </c>
      <c r="M199" s="152">
        <f t="shared" si="37"/>
        <v>17.953144266337855</v>
      </c>
    </row>
    <row r="200" spans="1:13">
      <c r="A200" s="231"/>
      <c r="B200" s="139" t="s">
        <v>462</v>
      </c>
      <c r="C200" s="5">
        <v>2</v>
      </c>
      <c r="D200" s="5"/>
      <c r="E200" s="5"/>
      <c r="F200" s="231"/>
      <c r="G200" s="5">
        <v>8</v>
      </c>
      <c r="H200" s="5">
        <v>150</v>
      </c>
      <c r="I200" s="142">
        <f>ROUND((3.5/3)/0.15+1, 0)</f>
        <v>9</v>
      </c>
      <c r="J200" s="5">
        <v>1.75</v>
      </c>
      <c r="K200" s="133">
        <f t="shared" si="35"/>
        <v>15.75</v>
      </c>
      <c r="L200" s="135">
        <f t="shared" si="36"/>
        <v>0.39457459926017263</v>
      </c>
      <c r="M200" s="152">
        <f t="shared" si="37"/>
        <v>12.429099876695437</v>
      </c>
    </row>
    <row r="201" spans="1:13">
      <c r="A201" s="231"/>
      <c r="B201" s="139" t="s">
        <v>463</v>
      </c>
      <c r="C201" s="5">
        <v>2</v>
      </c>
      <c r="D201" s="5"/>
      <c r="E201" s="5"/>
      <c r="F201" s="231"/>
      <c r="G201" s="5">
        <v>8</v>
      </c>
      <c r="H201" s="5">
        <v>100</v>
      </c>
      <c r="I201" s="142">
        <f>ROUND((3.5/3)/0.1+1, 0)</f>
        <v>13</v>
      </c>
      <c r="J201" s="5">
        <v>1.75</v>
      </c>
      <c r="K201" s="133">
        <f t="shared" si="35"/>
        <v>22.75</v>
      </c>
      <c r="L201" s="135">
        <f t="shared" si="36"/>
        <v>0.39457459926017263</v>
      </c>
      <c r="M201" s="152">
        <f t="shared" si="37"/>
        <v>17.953144266337855</v>
      </c>
    </row>
    <row r="202" spans="1:13">
      <c r="A202" s="231"/>
      <c r="B202" s="139" t="s">
        <v>464</v>
      </c>
      <c r="C202" s="5">
        <v>2</v>
      </c>
      <c r="D202" s="5"/>
      <c r="E202" s="5"/>
      <c r="F202" s="231"/>
      <c r="G202" s="5">
        <v>8</v>
      </c>
      <c r="H202" s="5">
        <v>100</v>
      </c>
      <c r="I202" s="142">
        <f>ROUND((6.1/3)/0.1+1, 0)</f>
        <v>21</v>
      </c>
      <c r="J202" s="5">
        <v>1.75</v>
      </c>
      <c r="K202" s="133">
        <f t="shared" si="35"/>
        <v>36.75</v>
      </c>
      <c r="L202" s="135">
        <f t="shared" si="36"/>
        <v>0.39457459926017263</v>
      </c>
      <c r="M202" s="152">
        <f t="shared" si="37"/>
        <v>29.001233045622687</v>
      </c>
    </row>
    <row r="203" spans="1:13">
      <c r="A203" s="231"/>
      <c r="B203" s="139" t="s">
        <v>465</v>
      </c>
      <c r="C203" s="5">
        <v>2</v>
      </c>
      <c r="D203" s="5"/>
      <c r="E203" s="5"/>
      <c r="F203" s="231"/>
      <c r="G203" s="5">
        <v>8</v>
      </c>
      <c r="H203" s="5">
        <v>150</v>
      </c>
      <c r="I203" s="142">
        <f>ROUND((6.1/3)/0.15+1, 0)</f>
        <v>15</v>
      </c>
      <c r="J203" s="5">
        <v>1.75</v>
      </c>
      <c r="K203" s="133">
        <f t="shared" si="35"/>
        <v>26.25</v>
      </c>
      <c r="L203" s="135">
        <f t="shared" si="36"/>
        <v>0.39457459926017263</v>
      </c>
      <c r="M203" s="152">
        <f t="shared" si="37"/>
        <v>20.715166461159065</v>
      </c>
    </row>
    <row r="204" spans="1:13">
      <c r="A204" s="231"/>
      <c r="B204" s="139" t="s">
        <v>466</v>
      </c>
      <c r="C204" s="5">
        <v>2</v>
      </c>
      <c r="D204" s="5"/>
      <c r="E204" s="5"/>
      <c r="F204" s="231"/>
      <c r="G204" s="5">
        <v>8</v>
      </c>
      <c r="H204" s="5">
        <v>100</v>
      </c>
      <c r="I204" s="142">
        <f>ROUND((6.1/3)/0.1+1, 0)</f>
        <v>21</v>
      </c>
      <c r="J204" s="5">
        <v>1.75</v>
      </c>
      <c r="K204" s="133">
        <f t="shared" si="35"/>
        <v>36.75</v>
      </c>
      <c r="L204" s="135">
        <f t="shared" si="36"/>
        <v>0.39457459926017263</v>
      </c>
      <c r="M204" s="152">
        <f t="shared" si="37"/>
        <v>29.001233045622687</v>
      </c>
    </row>
    <row r="205" spans="1:13">
      <c r="A205" s="231"/>
      <c r="B205" s="139" t="s">
        <v>467</v>
      </c>
      <c r="C205" s="5">
        <v>2</v>
      </c>
      <c r="D205" s="5"/>
      <c r="E205" s="5"/>
      <c r="F205" s="231"/>
      <c r="G205" s="5">
        <v>8</v>
      </c>
      <c r="H205" s="5">
        <v>100</v>
      </c>
      <c r="I205" s="142">
        <f>ROUND((2.2/3)/0.1+1, 0)</f>
        <v>8</v>
      </c>
      <c r="J205" s="5">
        <v>1.75</v>
      </c>
      <c r="K205" s="133">
        <f t="shared" si="35"/>
        <v>14</v>
      </c>
      <c r="L205" s="135">
        <f t="shared" si="36"/>
        <v>0.39457459926017263</v>
      </c>
      <c r="M205" s="152">
        <f t="shared" si="37"/>
        <v>11.048088779284834</v>
      </c>
    </row>
    <row r="206" spans="1:13">
      <c r="A206" s="231"/>
      <c r="B206" s="139" t="s">
        <v>468</v>
      </c>
      <c r="C206" s="5">
        <v>2</v>
      </c>
      <c r="D206" s="5"/>
      <c r="E206" s="5"/>
      <c r="F206" s="231"/>
      <c r="G206" s="5">
        <v>8</v>
      </c>
      <c r="H206" s="5">
        <v>150</v>
      </c>
      <c r="I206" s="142">
        <f>ROUND((2.2/3)/0.15+1, 0)</f>
        <v>6</v>
      </c>
      <c r="J206" s="5">
        <v>1.75</v>
      </c>
      <c r="K206" s="133">
        <f t="shared" si="35"/>
        <v>10.5</v>
      </c>
      <c r="L206" s="135">
        <f t="shared" si="36"/>
        <v>0.39457459926017263</v>
      </c>
      <c r="M206" s="152">
        <f t="shared" si="37"/>
        <v>8.2860665844636259</v>
      </c>
    </row>
    <row r="207" spans="1:13">
      <c r="A207" s="231"/>
      <c r="B207" s="139" t="s">
        <v>469</v>
      </c>
      <c r="C207" s="5">
        <v>2</v>
      </c>
      <c r="D207" s="5"/>
      <c r="E207" s="5"/>
      <c r="F207" s="231"/>
      <c r="G207" s="5">
        <v>8</v>
      </c>
      <c r="H207" s="5">
        <v>100</v>
      </c>
      <c r="I207" s="142">
        <f>ROUND((2.2/3)/0.1+1, 0)</f>
        <v>8</v>
      </c>
      <c r="J207" s="5">
        <v>1.75</v>
      </c>
      <c r="K207" s="133">
        <f t="shared" si="35"/>
        <v>14</v>
      </c>
      <c r="L207" s="135">
        <f t="shared" si="36"/>
        <v>0.39457459926017263</v>
      </c>
      <c r="M207" s="152">
        <f t="shared" si="37"/>
        <v>11.048088779284834</v>
      </c>
    </row>
    <row r="208" spans="1:13">
      <c r="A208" s="231"/>
      <c r="B208" s="139" t="s">
        <v>470</v>
      </c>
      <c r="C208" s="5">
        <v>2</v>
      </c>
      <c r="D208" s="5"/>
      <c r="E208" s="5"/>
      <c r="F208" s="231"/>
      <c r="G208" s="5">
        <v>8</v>
      </c>
      <c r="H208" s="5">
        <v>100</v>
      </c>
      <c r="I208" s="142">
        <f>ROUND((3.5/3)/0.1+1, 0)*2</f>
        <v>26</v>
      </c>
      <c r="J208" s="5">
        <v>1.75</v>
      </c>
      <c r="K208" s="133">
        <f t="shared" si="35"/>
        <v>45.5</v>
      </c>
      <c r="L208" s="135">
        <f t="shared" si="36"/>
        <v>0.39457459926017263</v>
      </c>
      <c r="M208" s="152">
        <f t="shared" si="37"/>
        <v>35.90628853267571</v>
      </c>
    </row>
    <row r="209" spans="1:13">
      <c r="A209" s="231"/>
      <c r="B209" s="139" t="s">
        <v>471</v>
      </c>
      <c r="C209" s="5">
        <v>2</v>
      </c>
      <c r="D209" s="5"/>
      <c r="E209" s="5"/>
      <c r="F209" s="231"/>
      <c r="G209" s="5">
        <v>8</v>
      </c>
      <c r="H209" s="5">
        <v>150</v>
      </c>
      <c r="I209" s="142">
        <f>ROUND((3.5/3)/0.15+1, 0)</f>
        <v>9</v>
      </c>
      <c r="J209" s="5">
        <v>1.75</v>
      </c>
      <c r="K209" s="133">
        <f t="shared" si="35"/>
        <v>15.75</v>
      </c>
      <c r="L209" s="135">
        <f t="shared" si="36"/>
        <v>0.39457459926017263</v>
      </c>
      <c r="M209" s="152">
        <f t="shared" si="37"/>
        <v>12.429099876695437</v>
      </c>
    </row>
    <row r="210" spans="1:13">
      <c r="A210" s="231"/>
      <c r="B210" s="139" t="s">
        <v>472</v>
      </c>
      <c r="C210" s="5">
        <v>2</v>
      </c>
      <c r="D210" s="5"/>
      <c r="E210" s="5"/>
      <c r="F210" s="231"/>
      <c r="G210" s="5">
        <v>8</v>
      </c>
      <c r="H210" s="5">
        <v>100</v>
      </c>
      <c r="I210" s="142">
        <f>ROUND((3.5/3)/0.1+1, 0)*2</f>
        <v>26</v>
      </c>
      <c r="J210" s="5">
        <v>1.75</v>
      </c>
      <c r="K210" s="133">
        <f t="shared" si="35"/>
        <v>45.5</v>
      </c>
      <c r="L210" s="135">
        <f t="shared" si="36"/>
        <v>0.39457459926017263</v>
      </c>
      <c r="M210" s="152">
        <f t="shared" si="37"/>
        <v>35.90628853267571</v>
      </c>
    </row>
    <row r="211" spans="1:13">
      <c r="A211" s="230">
        <v>4</v>
      </c>
      <c r="B211" s="44" t="s">
        <v>473</v>
      </c>
      <c r="C211" s="5"/>
      <c r="D211" s="5"/>
      <c r="E211" s="5"/>
      <c r="F211" s="230" t="s">
        <v>452</v>
      </c>
      <c r="G211" s="5"/>
      <c r="H211" s="5"/>
      <c r="I211" s="142"/>
      <c r="J211" s="5"/>
      <c r="K211" s="133"/>
      <c r="L211" s="135"/>
      <c r="M211" s="152"/>
    </row>
    <row r="212" spans="1:13">
      <c r="A212" s="231"/>
      <c r="B212" s="139" t="s">
        <v>404</v>
      </c>
      <c r="C212" s="5">
        <v>3</v>
      </c>
      <c r="D212" s="5"/>
      <c r="E212" s="5"/>
      <c r="F212" s="231"/>
      <c r="G212" s="5">
        <v>16</v>
      </c>
      <c r="H212" s="5"/>
      <c r="I212" s="142">
        <v>2</v>
      </c>
      <c r="J212" s="5">
        <v>6.52</v>
      </c>
      <c r="K212" s="133">
        <f t="shared" ref="K212:K218" si="39">I212*J212</f>
        <v>13.04</v>
      </c>
      <c r="L212" s="135">
        <f t="shared" ref="L212:L218" si="40">G212*G212/162.2</f>
        <v>1.5782983970406905</v>
      </c>
      <c r="M212" s="152">
        <f t="shared" ref="M212:M218" si="41">(K212*L212*C212)</f>
        <v>61.743033292231807</v>
      </c>
    </row>
    <row r="213" spans="1:13">
      <c r="A213" s="231"/>
      <c r="B213" s="139" t="s">
        <v>404</v>
      </c>
      <c r="C213" s="5">
        <v>3</v>
      </c>
      <c r="D213" s="5"/>
      <c r="E213" s="5"/>
      <c r="F213" s="231"/>
      <c r="G213" s="5">
        <v>12</v>
      </c>
      <c r="H213" s="5"/>
      <c r="I213" s="142">
        <v>1</v>
      </c>
      <c r="J213" s="5">
        <v>6.52</v>
      </c>
      <c r="K213" s="133">
        <f t="shared" si="39"/>
        <v>6.52</v>
      </c>
      <c r="L213" s="135">
        <f t="shared" si="40"/>
        <v>0.88779284833538852</v>
      </c>
      <c r="M213" s="152">
        <f t="shared" si="41"/>
        <v>17.365228113440196</v>
      </c>
    </row>
    <row r="214" spans="1:13">
      <c r="A214" s="231"/>
      <c r="B214" s="139" t="s">
        <v>403</v>
      </c>
      <c r="C214" s="5">
        <v>3</v>
      </c>
      <c r="D214" s="5"/>
      <c r="E214" s="5"/>
      <c r="F214" s="231"/>
      <c r="G214" s="5">
        <v>16</v>
      </c>
      <c r="H214" s="5"/>
      <c r="I214" s="142">
        <v>2</v>
      </c>
      <c r="J214" s="5">
        <v>6.52</v>
      </c>
      <c r="K214" s="133">
        <f t="shared" si="39"/>
        <v>13.04</v>
      </c>
      <c r="L214" s="135">
        <f t="shared" si="40"/>
        <v>1.5782983970406905</v>
      </c>
      <c r="M214" s="152">
        <f t="shared" si="41"/>
        <v>61.743033292231807</v>
      </c>
    </row>
    <row r="215" spans="1:13">
      <c r="A215" s="231"/>
      <c r="B215" s="139" t="s">
        <v>403</v>
      </c>
      <c r="C215" s="5">
        <v>3</v>
      </c>
      <c r="D215" s="5"/>
      <c r="E215" s="5"/>
      <c r="F215" s="231"/>
      <c r="G215" s="5">
        <v>12</v>
      </c>
      <c r="H215" s="5"/>
      <c r="I215" s="142">
        <v>1</v>
      </c>
      <c r="J215" s="5">
        <v>6.52</v>
      </c>
      <c r="K215" s="133">
        <f t="shared" si="39"/>
        <v>6.52</v>
      </c>
      <c r="L215" s="135">
        <f t="shared" si="40"/>
        <v>0.88779284833538852</v>
      </c>
      <c r="M215" s="152">
        <f t="shared" si="41"/>
        <v>17.365228113440196</v>
      </c>
    </row>
    <row r="216" spans="1:13">
      <c r="A216" s="231"/>
      <c r="B216" s="139" t="s">
        <v>458</v>
      </c>
      <c r="C216" s="5">
        <v>3</v>
      </c>
      <c r="D216" s="5"/>
      <c r="E216" s="5"/>
      <c r="F216" s="231"/>
      <c r="G216" s="5">
        <v>8</v>
      </c>
      <c r="H216" s="5">
        <v>100</v>
      </c>
      <c r="I216" s="142">
        <f>ROUND((5/3)/0.1+1, 0)</f>
        <v>18</v>
      </c>
      <c r="J216" s="5">
        <v>1.75</v>
      </c>
      <c r="K216" s="133">
        <f t="shared" si="39"/>
        <v>31.5</v>
      </c>
      <c r="L216" s="135">
        <f t="shared" si="40"/>
        <v>0.39457459926017263</v>
      </c>
      <c r="M216" s="152">
        <f t="shared" si="41"/>
        <v>37.287299630086309</v>
      </c>
    </row>
    <row r="217" spans="1:13">
      <c r="A217" s="231"/>
      <c r="B217" s="139" t="s">
        <v>459</v>
      </c>
      <c r="C217" s="5">
        <v>3</v>
      </c>
      <c r="D217" s="5"/>
      <c r="E217" s="5"/>
      <c r="F217" s="231"/>
      <c r="G217" s="5">
        <v>8</v>
      </c>
      <c r="H217" s="5">
        <v>150</v>
      </c>
      <c r="I217" s="142">
        <f>ROUND((5/3)/0.15+1, 0)</f>
        <v>12</v>
      </c>
      <c r="J217" s="5">
        <v>1.75</v>
      </c>
      <c r="K217" s="133">
        <f t="shared" si="39"/>
        <v>21</v>
      </c>
      <c r="L217" s="135">
        <f t="shared" si="40"/>
        <v>0.39457459926017263</v>
      </c>
      <c r="M217" s="152">
        <f t="shared" si="41"/>
        <v>24.858199753390878</v>
      </c>
    </row>
    <row r="218" spans="1:13">
      <c r="A218" s="232"/>
      <c r="B218" s="139" t="s">
        <v>460</v>
      </c>
      <c r="C218" s="5">
        <v>3</v>
      </c>
      <c r="D218" s="5"/>
      <c r="E218" s="5"/>
      <c r="F218" s="232"/>
      <c r="G218" s="5">
        <v>8</v>
      </c>
      <c r="H218" s="5">
        <v>100</v>
      </c>
      <c r="I218" s="142">
        <f>ROUND((5/3)/0.1+1, 0)</f>
        <v>18</v>
      </c>
      <c r="J218" s="5">
        <v>1.75</v>
      </c>
      <c r="K218" s="133">
        <f t="shared" si="39"/>
        <v>31.5</v>
      </c>
      <c r="L218" s="135">
        <f t="shared" si="40"/>
        <v>0.39457459926017263</v>
      </c>
      <c r="M218" s="152">
        <f t="shared" si="41"/>
        <v>37.287299630086309</v>
      </c>
    </row>
    <row r="219" spans="1:13">
      <c r="A219" s="230">
        <v>5</v>
      </c>
      <c r="B219" s="44" t="s">
        <v>474</v>
      </c>
      <c r="C219" s="5"/>
      <c r="D219" s="5"/>
      <c r="E219" s="5"/>
      <c r="F219" s="230" t="s">
        <v>452</v>
      </c>
      <c r="G219" s="5"/>
      <c r="H219" s="5"/>
      <c r="I219" s="142"/>
      <c r="J219" s="5"/>
      <c r="K219" s="133"/>
      <c r="L219" s="135"/>
      <c r="M219" s="152"/>
    </row>
    <row r="220" spans="1:13">
      <c r="A220" s="231"/>
      <c r="B220" s="139" t="s">
        <v>404</v>
      </c>
      <c r="C220" s="5">
        <v>1</v>
      </c>
      <c r="D220" s="5"/>
      <c r="E220" s="5"/>
      <c r="F220" s="231"/>
      <c r="G220" s="5">
        <v>16</v>
      </c>
      <c r="H220" s="5"/>
      <c r="I220" s="142">
        <v>2</v>
      </c>
      <c r="J220" s="5">
        <v>6.52</v>
      </c>
      <c r="K220" s="133">
        <f t="shared" ref="K220:K226" si="42">I220*J220</f>
        <v>13.04</v>
      </c>
      <c r="L220" s="135">
        <f t="shared" ref="L220:L226" si="43">G220*G220/162.2</f>
        <v>1.5782983970406905</v>
      </c>
      <c r="M220" s="152">
        <f t="shared" ref="M220:M226" si="44">(K220*L220*C220)</f>
        <v>20.581011097410602</v>
      </c>
    </row>
    <row r="221" spans="1:13">
      <c r="A221" s="231"/>
      <c r="B221" s="139" t="s">
        <v>404</v>
      </c>
      <c r="C221" s="5">
        <v>1</v>
      </c>
      <c r="D221" s="5"/>
      <c r="E221" s="5"/>
      <c r="F221" s="231"/>
      <c r="G221" s="5">
        <v>12</v>
      </c>
      <c r="H221" s="5"/>
      <c r="I221" s="142">
        <v>1</v>
      </c>
      <c r="J221" s="5">
        <v>6.52</v>
      </c>
      <c r="K221" s="133">
        <f t="shared" si="42"/>
        <v>6.52</v>
      </c>
      <c r="L221" s="135">
        <f t="shared" si="43"/>
        <v>0.88779284833538852</v>
      </c>
      <c r="M221" s="152">
        <f t="shared" si="44"/>
        <v>5.7884093711467326</v>
      </c>
    </row>
    <row r="222" spans="1:13">
      <c r="A222" s="231"/>
      <c r="B222" s="139" t="s">
        <v>403</v>
      </c>
      <c r="C222" s="5">
        <v>1</v>
      </c>
      <c r="D222" s="5"/>
      <c r="E222" s="5"/>
      <c r="F222" s="231"/>
      <c r="G222" s="5">
        <v>16</v>
      </c>
      <c r="H222" s="5"/>
      <c r="I222" s="142">
        <v>2</v>
      </c>
      <c r="J222" s="5">
        <v>6.52</v>
      </c>
      <c r="K222" s="133">
        <f t="shared" si="42"/>
        <v>13.04</v>
      </c>
      <c r="L222" s="135">
        <f t="shared" si="43"/>
        <v>1.5782983970406905</v>
      </c>
      <c r="M222" s="152">
        <f t="shared" si="44"/>
        <v>20.581011097410602</v>
      </c>
    </row>
    <row r="223" spans="1:13">
      <c r="A223" s="231"/>
      <c r="B223" s="139" t="s">
        <v>403</v>
      </c>
      <c r="C223" s="5">
        <v>1</v>
      </c>
      <c r="D223" s="5"/>
      <c r="E223" s="5"/>
      <c r="F223" s="231"/>
      <c r="G223" s="5">
        <v>12</v>
      </c>
      <c r="H223" s="5"/>
      <c r="I223" s="142">
        <v>1</v>
      </c>
      <c r="J223" s="5">
        <v>1.75</v>
      </c>
      <c r="K223" s="133">
        <f t="shared" si="42"/>
        <v>1.75</v>
      </c>
      <c r="L223" s="135">
        <f t="shared" si="43"/>
        <v>0.88779284833538852</v>
      </c>
      <c r="M223" s="152">
        <f t="shared" si="44"/>
        <v>1.5536374845869299</v>
      </c>
    </row>
    <row r="224" spans="1:13">
      <c r="A224" s="231"/>
      <c r="B224" s="139" t="s">
        <v>458</v>
      </c>
      <c r="C224" s="5">
        <v>1</v>
      </c>
      <c r="D224" s="5"/>
      <c r="E224" s="5"/>
      <c r="F224" s="231"/>
      <c r="G224" s="5">
        <v>8</v>
      </c>
      <c r="H224" s="5"/>
      <c r="I224" s="142">
        <f>ROUND((2.735/3)/0.1+1, 0)</f>
        <v>10</v>
      </c>
      <c r="J224" s="5">
        <v>1.75</v>
      </c>
      <c r="K224" s="133">
        <f t="shared" si="42"/>
        <v>17.5</v>
      </c>
      <c r="L224" s="135">
        <f t="shared" si="43"/>
        <v>0.39457459926017263</v>
      </c>
      <c r="M224" s="152">
        <f t="shared" si="44"/>
        <v>6.905055487053021</v>
      </c>
    </row>
    <row r="225" spans="1:13">
      <c r="A225" s="231"/>
      <c r="B225" s="139" t="s">
        <v>459</v>
      </c>
      <c r="C225" s="5">
        <v>1</v>
      </c>
      <c r="D225" s="5"/>
      <c r="E225" s="5"/>
      <c r="F225" s="231"/>
      <c r="G225" s="5">
        <v>8</v>
      </c>
      <c r="H225" s="5"/>
      <c r="I225" s="142">
        <f>ROUND((2.735/3)/0.15+1, 0)</f>
        <v>7</v>
      </c>
      <c r="J225" s="5">
        <v>1.75</v>
      </c>
      <c r="K225" s="133">
        <f t="shared" si="42"/>
        <v>12.25</v>
      </c>
      <c r="L225" s="135">
        <f t="shared" si="43"/>
        <v>0.39457459926017263</v>
      </c>
      <c r="M225" s="152">
        <f t="shared" si="44"/>
        <v>4.8335388409371145</v>
      </c>
    </row>
    <row r="226" spans="1:13">
      <c r="A226" s="231"/>
      <c r="B226" s="139" t="s">
        <v>460</v>
      </c>
      <c r="C226" s="5">
        <v>1</v>
      </c>
      <c r="D226" s="5"/>
      <c r="E226" s="5"/>
      <c r="F226" s="232"/>
      <c r="G226" s="5">
        <v>8</v>
      </c>
      <c r="H226" s="5"/>
      <c r="I226" s="142">
        <f>ROUND((2.735/3)/0.1+1, 0)</f>
        <v>10</v>
      </c>
      <c r="J226" s="5">
        <v>1.75</v>
      </c>
      <c r="K226" s="133">
        <f t="shared" si="42"/>
        <v>17.5</v>
      </c>
      <c r="L226" s="135">
        <f t="shared" si="43"/>
        <v>0.39457459926017263</v>
      </c>
      <c r="M226" s="152">
        <f t="shared" si="44"/>
        <v>6.905055487053021</v>
      </c>
    </row>
    <row r="227" spans="1:13">
      <c r="A227" s="231">
        <v>6</v>
      </c>
      <c r="B227" s="44" t="s">
        <v>475</v>
      </c>
      <c r="C227" s="5"/>
      <c r="D227" s="5"/>
      <c r="E227" s="5"/>
      <c r="F227" s="230" t="s">
        <v>452</v>
      </c>
      <c r="G227" s="5"/>
      <c r="H227" s="5"/>
      <c r="I227" s="142"/>
      <c r="J227" s="5"/>
      <c r="K227" s="133"/>
      <c r="L227" s="135"/>
      <c r="M227" s="152"/>
    </row>
    <row r="228" spans="1:13">
      <c r="A228" s="231"/>
      <c r="B228" s="139" t="s">
        <v>404</v>
      </c>
      <c r="C228" s="5">
        <v>1</v>
      </c>
      <c r="D228" s="5"/>
      <c r="E228" s="5"/>
      <c r="F228" s="231"/>
      <c r="G228" s="5">
        <v>16</v>
      </c>
      <c r="H228" s="5"/>
      <c r="I228" s="142">
        <v>2</v>
      </c>
      <c r="J228" s="5">
        <v>6.52</v>
      </c>
      <c r="K228" s="133">
        <f t="shared" ref="K228:K234" si="45">I228*J228</f>
        <v>13.04</v>
      </c>
      <c r="L228" s="135">
        <f t="shared" ref="L228:L234" si="46">G228*G228/162.2</f>
        <v>1.5782983970406905</v>
      </c>
      <c r="M228" s="152">
        <f t="shared" ref="M228:M234" si="47">(K228*L228*C228)</f>
        <v>20.581011097410602</v>
      </c>
    </row>
    <row r="229" spans="1:13">
      <c r="A229" s="231"/>
      <c r="B229" s="139" t="s">
        <v>404</v>
      </c>
      <c r="C229" s="5">
        <v>1</v>
      </c>
      <c r="D229" s="5"/>
      <c r="E229" s="5"/>
      <c r="F229" s="231"/>
      <c r="G229" s="5">
        <v>12</v>
      </c>
      <c r="H229" s="5"/>
      <c r="I229" s="142">
        <v>1</v>
      </c>
      <c r="J229" s="5">
        <v>6.52</v>
      </c>
      <c r="K229" s="133">
        <f t="shared" si="45"/>
        <v>6.52</v>
      </c>
      <c r="L229" s="135">
        <f t="shared" si="46"/>
        <v>0.88779284833538852</v>
      </c>
      <c r="M229" s="152">
        <f t="shared" si="47"/>
        <v>5.7884093711467326</v>
      </c>
    </row>
    <row r="230" spans="1:13">
      <c r="A230" s="231"/>
      <c r="B230" s="139" t="s">
        <v>403</v>
      </c>
      <c r="C230" s="5">
        <v>1</v>
      </c>
      <c r="D230" s="5"/>
      <c r="E230" s="5"/>
      <c r="F230" s="231"/>
      <c r="G230" s="5">
        <v>16</v>
      </c>
      <c r="H230" s="5"/>
      <c r="I230" s="142">
        <v>2</v>
      </c>
      <c r="J230" s="5">
        <v>6.52</v>
      </c>
      <c r="K230" s="133">
        <f t="shared" si="45"/>
        <v>13.04</v>
      </c>
      <c r="L230" s="135">
        <f t="shared" si="46"/>
        <v>1.5782983970406905</v>
      </c>
      <c r="M230" s="152">
        <f t="shared" si="47"/>
        <v>20.581011097410602</v>
      </c>
    </row>
    <row r="231" spans="1:13">
      <c r="A231" s="231"/>
      <c r="B231" s="139" t="s">
        <v>403</v>
      </c>
      <c r="C231" s="5">
        <v>1</v>
      </c>
      <c r="D231" s="5"/>
      <c r="E231" s="5"/>
      <c r="F231" s="231"/>
      <c r="G231" s="5">
        <v>12</v>
      </c>
      <c r="H231" s="5"/>
      <c r="I231" s="142">
        <v>1</v>
      </c>
      <c r="J231" s="5">
        <v>6.52</v>
      </c>
      <c r="K231" s="133">
        <f t="shared" si="45"/>
        <v>6.52</v>
      </c>
      <c r="L231" s="135">
        <f t="shared" si="46"/>
        <v>0.88779284833538852</v>
      </c>
      <c r="M231" s="152">
        <f t="shared" si="47"/>
        <v>5.7884093711467326</v>
      </c>
    </row>
    <row r="232" spans="1:13">
      <c r="A232" s="231"/>
      <c r="B232" s="139" t="s">
        <v>458</v>
      </c>
      <c r="C232" s="5">
        <v>1</v>
      </c>
      <c r="D232" s="5"/>
      <c r="E232" s="5"/>
      <c r="F232" s="231"/>
      <c r="G232" s="5">
        <v>8</v>
      </c>
      <c r="H232" s="5"/>
      <c r="I232" s="142">
        <f>ROUND((2.735/3)/0.1+1, 0)</f>
        <v>10</v>
      </c>
      <c r="J232" s="5">
        <v>1.75</v>
      </c>
      <c r="K232" s="133">
        <f t="shared" si="45"/>
        <v>17.5</v>
      </c>
      <c r="L232" s="135">
        <f t="shared" si="46"/>
        <v>0.39457459926017263</v>
      </c>
      <c r="M232" s="152">
        <f t="shared" si="47"/>
        <v>6.905055487053021</v>
      </c>
    </row>
    <row r="233" spans="1:13">
      <c r="A233" s="231"/>
      <c r="B233" s="139" t="s">
        <v>459</v>
      </c>
      <c r="C233" s="5">
        <v>1</v>
      </c>
      <c r="D233" s="5"/>
      <c r="E233" s="5"/>
      <c r="F233" s="231"/>
      <c r="G233" s="5">
        <v>8</v>
      </c>
      <c r="H233" s="5"/>
      <c r="I233" s="142">
        <f>ROUND((2.735/3)/0.15+1, 0)</f>
        <v>7</v>
      </c>
      <c r="J233" s="5">
        <v>1.75</v>
      </c>
      <c r="K233" s="133">
        <f t="shared" si="45"/>
        <v>12.25</v>
      </c>
      <c r="L233" s="135">
        <f t="shared" si="46"/>
        <v>0.39457459926017263</v>
      </c>
      <c r="M233" s="152">
        <f t="shared" si="47"/>
        <v>4.8335388409371145</v>
      </c>
    </row>
    <row r="234" spans="1:13">
      <c r="A234" s="231"/>
      <c r="B234" s="139" t="s">
        <v>460</v>
      </c>
      <c r="C234" s="5">
        <v>1</v>
      </c>
      <c r="D234" s="5"/>
      <c r="E234" s="5"/>
      <c r="F234" s="232"/>
      <c r="G234" s="5">
        <v>8</v>
      </c>
      <c r="H234" s="5"/>
      <c r="I234" s="142">
        <f>ROUND((2.735/3)/0.1+1, 0)</f>
        <v>10</v>
      </c>
      <c r="J234" s="5">
        <v>1.75</v>
      </c>
      <c r="K234" s="133">
        <f t="shared" si="45"/>
        <v>17.5</v>
      </c>
      <c r="L234" s="135">
        <f t="shared" si="46"/>
        <v>0.39457459926017263</v>
      </c>
      <c r="M234" s="152">
        <f t="shared" si="47"/>
        <v>6.905055487053021</v>
      </c>
    </row>
    <row r="235" spans="1:13">
      <c r="A235" s="231">
        <v>7</v>
      </c>
      <c r="B235" s="44" t="s">
        <v>476</v>
      </c>
      <c r="C235" s="5"/>
      <c r="D235" s="5"/>
      <c r="E235" s="5"/>
      <c r="F235" s="230" t="s">
        <v>452</v>
      </c>
      <c r="G235" s="5"/>
      <c r="H235" s="5"/>
      <c r="I235" s="142"/>
      <c r="J235" s="5"/>
      <c r="K235" s="133"/>
      <c r="L235" s="135"/>
      <c r="M235" s="152"/>
    </row>
    <row r="236" spans="1:13">
      <c r="A236" s="231"/>
      <c r="B236" s="139" t="s">
        <v>404</v>
      </c>
      <c r="C236" s="5">
        <v>1</v>
      </c>
      <c r="D236" s="5"/>
      <c r="E236" s="5"/>
      <c r="F236" s="231"/>
      <c r="G236" s="5">
        <v>16</v>
      </c>
      <c r="H236" s="5"/>
      <c r="I236" s="142">
        <v>2</v>
      </c>
      <c r="J236" s="5">
        <v>6.52</v>
      </c>
      <c r="K236" s="133">
        <f t="shared" ref="K236:K242" si="48">I236*J236</f>
        <v>13.04</v>
      </c>
      <c r="L236" s="135">
        <f t="shared" ref="L236:L242" si="49">G236*G236/162.2</f>
        <v>1.5782983970406905</v>
      </c>
      <c r="M236" s="152">
        <f t="shared" ref="M236:M242" si="50">(K236*L236*C236)</f>
        <v>20.581011097410602</v>
      </c>
    </row>
    <row r="237" spans="1:13">
      <c r="A237" s="231"/>
      <c r="B237" s="139" t="s">
        <v>404</v>
      </c>
      <c r="C237" s="5">
        <v>1</v>
      </c>
      <c r="D237" s="5"/>
      <c r="E237" s="5"/>
      <c r="F237" s="231"/>
      <c r="G237" s="5">
        <v>12</v>
      </c>
      <c r="H237" s="5"/>
      <c r="I237" s="142">
        <v>1</v>
      </c>
      <c r="J237" s="5">
        <v>6.52</v>
      </c>
      <c r="K237" s="133">
        <f t="shared" si="48"/>
        <v>6.52</v>
      </c>
      <c r="L237" s="135">
        <f t="shared" si="49"/>
        <v>0.88779284833538852</v>
      </c>
      <c r="M237" s="152">
        <f t="shared" si="50"/>
        <v>5.7884093711467326</v>
      </c>
    </row>
    <row r="238" spans="1:13">
      <c r="A238" s="231"/>
      <c r="B238" s="139" t="s">
        <v>403</v>
      </c>
      <c r="C238" s="5">
        <v>1</v>
      </c>
      <c r="D238" s="5"/>
      <c r="E238" s="5"/>
      <c r="F238" s="231"/>
      <c r="G238" s="5">
        <v>16</v>
      </c>
      <c r="H238" s="5"/>
      <c r="I238" s="142">
        <v>2</v>
      </c>
      <c r="J238" s="5">
        <v>6.52</v>
      </c>
      <c r="K238" s="133">
        <f t="shared" si="48"/>
        <v>13.04</v>
      </c>
      <c r="L238" s="135">
        <f t="shared" si="49"/>
        <v>1.5782983970406905</v>
      </c>
      <c r="M238" s="152">
        <f t="shared" si="50"/>
        <v>20.581011097410602</v>
      </c>
    </row>
    <row r="239" spans="1:13">
      <c r="A239" s="231"/>
      <c r="B239" s="139" t="s">
        <v>403</v>
      </c>
      <c r="C239" s="5">
        <v>1</v>
      </c>
      <c r="D239" s="5"/>
      <c r="E239" s="5"/>
      <c r="F239" s="231"/>
      <c r="G239" s="5">
        <v>12</v>
      </c>
      <c r="H239" s="5"/>
      <c r="I239" s="142">
        <v>1</v>
      </c>
      <c r="J239" s="5">
        <v>6.52</v>
      </c>
      <c r="K239" s="133">
        <f t="shared" si="48"/>
        <v>6.52</v>
      </c>
      <c r="L239" s="135">
        <f t="shared" si="49"/>
        <v>0.88779284833538852</v>
      </c>
      <c r="M239" s="152">
        <f t="shared" si="50"/>
        <v>5.7884093711467326</v>
      </c>
    </row>
    <row r="240" spans="1:13">
      <c r="A240" s="231"/>
      <c r="B240" s="139" t="s">
        <v>458</v>
      </c>
      <c r="C240" s="5">
        <v>1</v>
      </c>
      <c r="D240" s="5"/>
      <c r="E240" s="5"/>
      <c r="F240" s="231"/>
      <c r="G240" s="5">
        <v>8</v>
      </c>
      <c r="H240" s="5"/>
      <c r="I240" s="142">
        <f>ROUND((3/3)/0.1+1, 0)</f>
        <v>11</v>
      </c>
      <c r="J240" s="5">
        <v>1.75</v>
      </c>
      <c r="K240" s="133">
        <f t="shared" si="48"/>
        <v>19.25</v>
      </c>
      <c r="L240" s="135">
        <f t="shared" si="49"/>
        <v>0.39457459926017263</v>
      </c>
      <c r="M240" s="152">
        <f t="shared" si="50"/>
        <v>7.5955610357583234</v>
      </c>
    </row>
    <row r="241" spans="1:13">
      <c r="A241" s="231"/>
      <c r="B241" s="139" t="s">
        <v>459</v>
      </c>
      <c r="C241" s="5">
        <v>1</v>
      </c>
      <c r="D241" s="5"/>
      <c r="E241" s="5"/>
      <c r="F241" s="231"/>
      <c r="G241" s="5">
        <v>8</v>
      </c>
      <c r="H241" s="5"/>
      <c r="I241" s="142">
        <f>ROUND((3/3)/0.15+1, 0)</f>
        <v>8</v>
      </c>
      <c r="J241" s="5">
        <v>1.75</v>
      </c>
      <c r="K241" s="133">
        <f t="shared" si="48"/>
        <v>14</v>
      </c>
      <c r="L241" s="135">
        <f t="shared" si="49"/>
        <v>0.39457459926017263</v>
      </c>
      <c r="M241" s="152">
        <f t="shared" si="50"/>
        <v>5.524044389642417</v>
      </c>
    </row>
    <row r="242" spans="1:13">
      <c r="A242" s="231"/>
      <c r="B242" s="139" t="s">
        <v>460</v>
      </c>
      <c r="C242" s="5">
        <v>1</v>
      </c>
      <c r="D242" s="5"/>
      <c r="E242" s="5"/>
      <c r="F242" s="232"/>
      <c r="G242" s="5">
        <v>8</v>
      </c>
      <c r="H242" s="5"/>
      <c r="I242" s="142">
        <f>ROUND((3/3)/0.1+1, 0)</f>
        <v>11</v>
      </c>
      <c r="J242" s="5">
        <v>1.75</v>
      </c>
      <c r="K242" s="133">
        <f t="shared" si="48"/>
        <v>19.25</v>
      </c>
      <c r="L242" s="135">
        <f t="shared" si="49"/>
        <v>0.39457459926017263</v>
      </c>
      <c r="M242" s="152">
        <f t="shared" si="50"/>
        <v>7.5955610357583234</v>
      </c>
    </row>
    <row r="243" spans="1:13">
      <c r="A243" s="230">
        <v>8</v>
      </c>
      <c r="B243" s="44" t="s">
        <v>477</v>
      </c>
      <c r="C243" s="5"/>
      <c r="D243" s="5"/>
      <c r="E243" s="5"/>
      <c r="F243" s="230" t="s">
        <v>478</v>
      </c>
      <c r="G243" s="5"/>
      <c r="H243" s="5"/>
      <c r="I243" s="145"/>
      <c r="J243" s="5"/>
      <c r="K243" s="133"/>
      <c r="L243" s="135"/>
      <c r="M243" s="152"/>
    </row>
    <row r="244" spans="1:13">
      <c r="A244" s="231"/>
      <c r="B244" s="139" t="s">
        <v>404</v>
      </c>
      <c r="C244" s="5">
        <v>2</v>
      </c>
      <c r="D244" s="5"/>
      <c r="E244" s="5"/>
      <c r="F244" s="231"/>
      <c r="G244" s="5">
        <v>20</v>
      </c>
      <c r="H244" s="27"/>
      <c r="I244" s="26">
        <v>3</v>
      </c>
      <c r="J244" s="5">
        <v>12.16</v>
      </c>
      <c r="K244" s="133">
        <f t="shared" ref="K244:K252" si="51">I244*J244</f>
        <v>36.480000000000004</v>
      </c>
      <c r="L244" s="135">
        <f t="shared" ref="L244:L252" si="52">G244*G244/162.2</f>
        <v>2.466091245376079</v>
      </c>
      <c r="M244" s="152">
        <f t="shared" ref="M244:M252" si="53">(K244*L244*C244)</f>
        <v>179.92601726263874</v>
      </c>
    </row>
    <row r="245" spans="1:13">
      <c r="A245" s="231"/>
      <c r="B245" s="139" t="s">
        <v>404</v>
      </c>
      <c r="C245" s="5">
        <v>2</v>
      </c>
      <c r="D245" s="5"/>
      <c r="E245" s="5"/>
      <c r="F245" s="231"/>
      <c r="G245" s="5">
        <v>20</v>
      </c>
      <c r="H245" s="27"/>
      <c r="I245" s="26">
        <v>2</v>
      </c>
      <c r="J245" s="5">
        <v>12.16</v>
      </c>
      <c r="K245" s="133">
        <f t="shared" si="51"/>
        <v>24.32</v>
      </c>
      <c r="L245" s="135">
        <f t="shared" si="52"/>
        <v>2.466091245376079</v>
      </c>
      <c r="M245" s="152">
        <f t="shared" si="53"/>
        <v>119.95067817509249</v>
      </c>
    </row>
    <row r="246" spans="1:13">
      <c r="A246" s="231"/>
      <c r="B246" s="139" t="s">
        <v>403</v>
      </c>
      <c r="C246" s="5">
        <v>2</v>
      </c>
      <c r="D246" s="5"/>
      <c r="E246" s="5"/>
      <c r="F246" s="231"/>
      <c r="G246" s="5">
        <v>20</v>
      </c>
      <c r="H246" s="27"/>
      <c r="I246" s="26">
        <v>3</v>
      </c>
      <c r="J246" s="5">
        <v>12.16</v>
      </c>
      <c r="K246" s="133">
        <f t="shared" si="51"/>
        <v>36.480000000000004</v>
      </c>
      <c r="L246" s="135">
        <f t="shared" si="52"/>
        <v>2.466091245376079</v>
      </c>
      <c r="M246" s="152">
        <f t="shared" si="53"/>
        <v>179.92601726263874</v>
      </c>
    </row>
    <row r="247" spans="1:13">
      <c r="A247" s="231"/>
      <c r="B247" s="139" t="s">
        <v>407</v>
      </c>
      <c r="C247" s="5">
        <v>2</v>
      </c>
      <c r="D247" s="5"/>
      <c r="E247" s="5"/>
      <c r="F247" s="231"/>
      <c r="G247" s="5">
        <v>20</v>
      </c>
      <c r="H247" s="27"/>
      <c r="I247" s="26">
        <v>4</v>
      </c>
      <c r="J247" s="5">
        <v>3.38</v>
      </c>
      <c r="K247" s="133">
        <f t="shared" si="51"/>
        <v>13.52</v>
      </c>
      <c r="L247" s="135">
        <f t="shared" si="52"/>
        <v>2.466091245376079</v>
      </c>
      <c r="M247" s="152">
        <f t="shared" si="53"/>
        <v>66.683107274969174</v>
      </c>
    </row>
    <row r="248" spans="1:13">
      <c r="A248" s="231"/>
      <c r="B248" s="28" t="s">
        <v>410</v>
      </c>
      <c r="C248" s="5">
        <v>2</v>
      </c>
      <c r="D248" s="5"/>
      <c r="E248" s="5"/>
      <c r="F248" s="231"/>
      <c r="G248" s="5">
        <v>10</v>
      </c>
      <c r="H248" s="146"/>
      <c r="I248" s="142">
        <v>4</v>
      </c>
      <c r="J248" s="5">
        <v>11.02</v>
      </c>
      <c r="K248" s="133">
        <f t="shared" si="51"/>
        <v>44.08</v>
      </c>
      <c r="L248" s="135">
        <f t="shared" si="52"/>
        <v>0.61652281134401976</v>
      </c>
      <c r="M248" s="152">
        <f t="shared" si="53"/>
        <v>54.352651048088781</v>
      </c>
    </row>
    <row r="249" spans="1:13">
      <c r="A249" s="231"/>
      <c r="B249" s="139" t="s">
        <v>458</v>
      </c>
      <c r="C249" s="5">
        <v>2</v>
      </c>
      <c r="D249" s="5"/>
      <c r="E249" s="5"/>
      <c r="F249" s="231"/>
      <c r="G249" s="5">
        <v>10</v>
      </c>
      <c r="H249" s="142">
        <v>100</v>
      </c>
      <c r="I249" s="142">
        <f>ROUND((9.1/3)/0.1+1, 0)</f>
        <v>31</v>
      </c>
      <c r="J249" s="5">
        <v>2.35</v>
      </c>
      <c r="K249" s="133">
        <f t="shared" si="51"/>
        <v>72.850000000000009</v>
      </c>
      <c r="L249" s="135">
        <f t="shared" si="52"/>
        <v>0.61652281134401976</v>
      </c>
      <c r="M249" s="152">
        <f t="shared" si="53"/>
        <v>89.827373612823692</v>
      </c>
    </row>
    <row r="250" spans="1:13">
      <c r="A250" s="231"/>
      <c r="B250" s="139" t="s">
        <v>459</v>
      </c>
      <c r="C250" s="5">
        <v>2</v>
      </c>
      <c r="D250" s="5"/>
      <c r="E250" s="5"/>
      <c r="F250" s="231"/>
      <c r="G250" s="5">
        <v>10</v>
      </c>
      <c r="H250" s="142">
        <v>150</v>
      </c>
      <c r="I250" s="142">
        <f>ROUND((9.1/3)/0.15+1, 0)</f>
        <v>21</v>
      </c>
      <c r="J250" s="5">
        <v>2.35</v>
      </c>
      <c r="K250" s="133">
        <f t="shared" si="51"/>
        <v>49.35</v>
      </c>
      <c r="L250" s="135">
        <f t="shared" si="52"/>
        <v>0.61652281134401976</v>
      </c>
      <c r="M250" s="152">
        <f t="shared" si="53"/>
        <v>60.850801479654756</v>
      </c>
    </row>
    <row r="251" spans="1:13">
      <c r="A251" s="231"/>
      <c r="B251" s="139" t="s">
        <v>460</v>
      </c>
      <c r="C251" s="5">
        <v>2</v>
      </c>
      <c r="D251" s="5"/>
      <c r="E251" s="5"/>
      <c r="F251" s="231"/>
      <c r="G251" s="5">
        <v>10</v>
      </c>
      <c r="H251" s="142">
        <v>100</v>
      </c>
      <c r="I251" s="142">
        <f>ROUND((9.1/3)/0.1+1, 0)</f>
        <v>31</v>
      </c>
      <c r="J251" s="5">
        <v>2.35</v>
      </c>
      <c r="K251" s="133">
        <f t="shared" si="51"/>
        <v>72.850000000000009</v>
      </c>
      <c r="L251" s="135">
        <f t="shared" si="52"/>
        <v>0.61652281134401976</v>
      </c>
      <c r="M251" s="152">
        <f t="shared" si="53"/>
        <v>89.827373612823692</v>
      </c>
    </row>
    <row r="252" spans="1:13">
      <c r="A252" s="232"/>
      <c r="B252" s="139" t="s">
        <v>22</v>
      </c>
      <c r="C252" s="5">
        <v>2</v>
      </c>
      <c r="D252" s="5"/>
      <c r="E252" s="5"/>
      <c r="F252" s="232"/>
      <c r="G252" s="5">
        <v>10</v>
      </c>
      <c r="H252" s="142">
        <v>100</v>
      </c>
      <c r="I252" s="142">
        <f>ROUND((10.8)/0.1+1, 0)</f>
        <v>109</v>
      </c>
      <c r="J252" s="5">
        <v>1.93</v>
      </c>
      <c r="K252" s="133">
        <f t="shared" si="51"/>
        <v>210.37</v>
      </c>
      <c r="L252" s="135">
        <f t="shared" si="52"/>
        <v>0.61652281134401976</v>
      </c>
      <c r="M252" s="152">
        <f t="shared" si="53"/>
        <v>259.39580764488289</v>
      </c>
    </row>
    <row r="253" spans="1:13">
      <c r="A253" s="230">
        <v>9</v>
      </c>
      <c r="B253" s="44" t="s">
        <v>479</v>
      </c>
      <c r="C253" s="5"/>
      <c r="D253" s="5"/>
      <c r="E253" s="5"/>
      <c r="F253" s="230" t="s">
        <v>452</v>
      </c>
      <c r="G253" s="5"/>
      <c r="H253" s="146"/>
      <c r="I253" s="145"/>
      <c r="J253" s="5"/>
      <c r="K253" s="133"/>
      <c r="L253" s="135"/>
      <c r="M253" s="152"/>
    </row>
    <row r="254" spans="1:13">
      <c r="A254" s="231"/>
      <c r="B254" s="139" t="s">
        <v>404</v>
      </c>
      <c r="C254" s="5">
        <v>1</v>
      </c>
      <c r="D254" s="5"/>
      <c r="E254" s="5"/>
      <c r="F254" s="231"/>
      <c r="G254" s="5">
        <v>16</v>
      </c>
      <c r="H254" s="146"/>
      <c r="I254" s="26">
        <v>3</v>
      </c>
      <c r="J254" s="5">
        <v>4.63</v>
      </c>
      <c r="K254" s="133">
        <f t="shared" ref="K254:K260" si="54">I254*J254</f>
        <v>13.89</v>
      </c>
      <c r="L254" s="135">
        <f t="shared" ref="L254:L260" si="55">G254*G254/162.2</f>
        <v>1.5782983970406905</v>
      </c>
      <c r="M254" s="152">
        <f t="shared" ref="M254:M260" si="56">(K254*L254*C254)</f>
        <v>21.922564734895193</v>
      </c>
    </row>
    <row r="255" spans="1:13">
      <c r="A255" s="231"/>
      <c r="B255" s="139" t="s">
        <v>404</v>
      </c>
      <c r="C255" s="5">
        <v>1</v>
      </c>
      <c r="D255" s="5"/>
      <c r="E255" s="5"/>
      <c r="F255" s="231"/>
      <c r="G255" s="5">
        <v>12</v>
      </c>
      <c r="H255" s="146"/>
      <c r="I255" s="26">
        <v>2</v>
      </c>
      <c r="J255" s="5">
        <v>4.63</v>
      </c>
      <c r="K255" s="133">
        <f t="shared" si="54"/>
        <v>9.26</v>
      </c>
      <c r="L255" s="135">
        <f t="shared" si="55"/>
        <v>0.88779284833538852</v>
      </c>
      <c r="M255" s="152">
        <f t="shared" si="56"/>
        <v>8.2209617755856979</v>
      </c>
    </row>
    <row r="256" spans="1:13">
      <c r="A256" s="231"/>
      <c r="B256" s="139" t="s">
        <v>403</v>
      </c>
      <c r="C256" s="5">
        <v>1</v>
      </c>
      <c r="D256" s="5"/>
      <c r="E256" s="5"/>
      <c r="F256" s="231"/>
      <c r="G256" s="5">
        <v>16</v>
      </c>
      <c r="H256" s="146"/>
      <c r="I256" s="26">
        <v>3</v>
      </c>
      <c r="J256" s="5">
        <v>4.63</v>
      </c>
      <c r="K256" s="133">
        <f t="shared" si="54"/>
        <v>13.89</v>
      </c>
      <c r="L256" s="135">
        <f t="shared" si="55"/>
        <v>1.5782983970406905</v>
      </c>
      <c r="M256" s="152">
        <f t="shared" si="56"/>
        <v>21.922564734895193</v>
      </c>
    </row>
    <row r="257" spans="1:13">
      <c r="A257" s="231"/>
      <c r="B257" s="139" t="s">
        <v>407</v>
      </c>
      <c r="C257" s="5">
        <v>1</v>
      </c>
      <c r="D257" s="5"/>
      <c r="E257" s="5"/>
      <c r="F257" s="231"/>
      <c r="G257" s="5">
        <v>16</v>
      </c>
      <c r="H257" s="146"/>
      <c r="I257" s="26">
        <v>4</v>
      </c>
      <c r="J257" s="5">
        <v>1.39</v>
      </c>
      <c r="K257" s="133">
        <f t="shared" si="54"/>
        <v>5.56</v>
      </c>
      <c r="L257" s="135">
        <f t="shared" si="55"/>
        <v>1.5782983970406905</v>
      </c>
      <c r="M257" s="152">
        <f t="shared" si="56"/>
        <v>8.7753390875462394</v>
      </c>
    </row>
    <row r="258" spans="1:13">
      <c r="A258" s="231"/>
      <c r="B258" s="139" t="s">
        <v>458</v>
      </c>
      <c r="C258" s="5">
        <v>1</v>
      </c>
      <c r="D258" s="5"/>
      <c r="E258" s="5"/>
      <c r="F258" s="231"/>
      <c r="G258" s="5">
        <v>8</v>
      </c>
      <c r="H258" s="142">
        <v>100</v>
      </c>
      <c r="I258" s="142">
        <f>ROUND((3/3)/0.1+1, 0)</f>
        <v>11</v>
      </c>
      <c r="J258" s="5">
        <v>1.75</v>
      </c>
      <c r="K258" s="133">
        <f t="shared" si="54"/>
        <v>19.25</v>
      </c>
      <c r="L258" s="135">
        <f t="shared" si="55"/>
        <v>0.39457459926017263</v>
      </c>
      <c r="M258" s="152">
        <f t="shared" si="56"/>
        <v>7.5955610357583234</v>
      </c>
    </row>
    <row r="259" spans="1:13">
      <c r="A259" s="231"/>
      <c r="B259" s="139" t="s">
        <v>459</v>
      </c>
      <c r="C259" s="5">
        <v>1</v>
      </c>
      <c r="D259" s="5"/>
      <c r="E259" s="5"/>
      <c r="F259" s="231"/>
      <c r="G259" s="5">
        <v>8</v>
      </c>
      <c r="H259" s="142">
        <v>150</v>
      </c>
      <c r="I259" s="142">
        <f>ROUND((3/3)/0.15+1, 0)</f>
        <v>8</v>
      </c>
      <c r="J259" s="5">
        <v>1.75</v>
      </c>
      <c r="K259" s="133">
        <f t="shared" si="54"/>
        <v>14</v>
      </c>
      <c r="L259" s="135">
        <f t="shared" si="55"/>
        <v>0.39457459926017263</v>
      </c>
      <c r="M259" s="152">
        <f t="shared" si="56"/>
        <v>5.524044389642417</v>
      </c>
    </row>
    <row r="260" spans="1:13">
      <c r="A260" s="232"/>
      <c r="B260" s="139" t="s">
        <v>460</v>
      </c>
      <c r="C260" s="5">
        <v>1</v>
      </c>
      <c r="D260" s="5"/>
      <c r="E260" s="5"/>
      <c r="F260" s="232"/>
      <c r="G260" s="5">
        <v>8</v>
      </c>
      <c r="H260" s="142">
        <v>100</v>
      </c>
      <c r="I260" s="142">
        <f>ROUND((3/3)/0.1+1, 0)</f>
        <v>11</v>
      </c>
      <c r="J260" s="5">
        <v>1.75</v>
      </c>
      <c r="K260" s="133">
        <f t="shared" si="54"/>
        <v>19.25</v>
      </c>
      <c r="L260" s="135">
        <f t="shared" si="55"/>
        <v>0.39457459926017263</v>
      </c>
      <c r="M260" s="152">
        <f t="shared" si="56"/>
        <v>7.5955610357583234</v>
      </c>
    </row>
    <row r="261" spans="1:13">
      <c r="A261" s="230">
        <v>10</v>
      </c>
      <c r="B261" s="147" t="s">
        <v>412</v>
      </c>
      <c r="C261" s="5"/>
      <c r="D261" s="5"/>
      <c r="E261" s="5"/>
      <c r="F261" s="230" t="s">
        <v>480</v>
      </c>
      <c r="G261" s="5"/>
      <c r="H261" s="142"/>
      <c r="I261" s="145"/>
      <c r="J261" s="5"/>
      <c r="K261" s="133"/>
      <c r="L261" s="135"/>
      <c r="M261" s="152"/>
    </row>
    <row r="262" spans="1:13">
      <c r="A262" s="231"/>
      <c r="B262" s="148" t="s">
        <v>21</v>
      </c>
      <c r="C262" s="5">
        <v>8</v>
      </c>
      <c r="D262" s="5"/>
      <c r="E262" s="5"/>
      <c r="F262" s="231"/>
      <c r="G262" s="5">
        <v>10</v>
      </c>
      <c r="H262" s="27"/>
      <c r="I262" s="26">
        <v>4</v>
      </c>
      <c r="J262" s="5">
        <v>2.17</v>
      </c>
      <c r="K262" s="133">
        <f t="shared" ref="K262:K265" si="57">I262*J262</f>
        <v>8.68</v>
      </c>
      <c r="L262" s="135">
        <f t="shared" ref="L262:L265" si="58">G262*G262/162.2</f>
        <v>0.61652281134401976</v>
      </c>
      <c r="M262" s="152">
        <f t="shared" ref="M262:M265" si="59">(K262*L262*C262)</f>
        <v>42.811344019728729</v>
      </c>
    </row>
    <row r="263" spans="1:13">
      <c r="A263" s="231"/>
      <c r="B263" s="139" t="s">
        <v>22</v>
      </c>
      <c r="C263" s="5">
        <v>8</v>
      </c>
      <c r="D263" s="5"/>
      <c r="E263" s="5"/>
      <c r="F263" s="231"/>
      <c r="G263" s="5">
        <v>8</v>
      </c>
      <c r="H263" s="142">
        <v>200</v>
      </c>
      <c r="I263" s="142">
        <f>ROUND(1.57/0.2+1,0)</f>
        <v>9</v>
      </c>
      <c r="J263" s="5">
        <v>0.75</v>
      </c>
      <c r="K263" s="133">
        <f t="shared" si="57"/>
        <v>6.75</v>
      </c>
      <c r="L263" s="135">
        <f t="shared" si="58"/>
        <v>0.39457459926017263</v>
      </c>
      <c r="M263" s="152">
        <f t="shared" si="59"/>
        <v>21.307028360049323</v>
      </c>
    </row>
    <row r="264" spans="1:13">
      <c r="A264" s="231"/>
      <c r="B264" s="148" t="s">
        <v>21</v>
      </c>
      <c r="C264" s="5">
        <v>8</v>
      </c>
      <c r="D264" s="5"/>
      <c r="E264" s="5"/>
      <c r="F264" s="231"/>
      <c r="G264" s="5">
        <v>10</v>
      </c>
      <c r="H264" s="26"/>
      <c r="I264" s="26">
        <v>4</v>
      </c>
      <c r="J264" s="5">
        <v>1.67</v>
      </c>
      <c r="K264" s="133">
        <f t="shared" si="57"/>
        <v>6.68</v>
      </c>
      <c r="L264" s="135">
        <f t="shared" si="58"/>
        <v>0.61652281134401976</v>
      </c>
      <c r="M264" s="152">
        <f t="shared" si="59"/>
        <v>32.946979038224413</v>
      </c>
    </row>
    <row r="265" spans="1:13">
      <c r="A265" s="232"/>
      <c r="B265" s="139" t="s">
        <v>22</v>
      </c>
      <c r="C265" s="5">
        <v>8</v>
      </c>
      <c r="D265" s="5"/>
      <c r="E265" s="5"/>
      <c r="F265" s="232"/>
      <c r="G265" s="5">
        <v>8</v>
      </c>
      <c r="H265" s="142">
        <v>200</v>
      </c>
      <c r="I265" s="142">
        <f>ROUND(1.07/0.2+1,0)</f>
        <v>6</v>
      </c>
      <c r="J265" s="5">
        <v>0.75</v>
      </c>
      <c r="K265" s="133">
        <f t="shared" si="57"/>
        <v>4.5</v>
      </c>
      <c r="L265" s="135">
        <f t="shared" si="58"/>
        <v>0.39457459926017263</v>
      </c>
      <c r="M265" s="152">
        <f t="shared" si="59"/>
        <v>14.204685573366215</v>
      </c>
    </row>
    <row r="266" spans="1:13" s="129" customFormat="1" ht="32.4" customHeight="1">
      <c r="A266" s="233"/>
      <c r="B266" s="233"/>
      <c r="C266" s="233"/>
      <c r="D266" s="233"/>
      <c r="E266" s="233"/>
      <c r="F266" s="233"/>
      <c r="G266" s="233"/>
      <c r="H266" s="233"/>
      <c r="I266" s="233"/>
      <c r="J266" s="233"/>
      <c r="K266" s="33"/>
      <c r="L266" s="149" t="s">
        <v>482</v>
      </c>
      <c r="M266" s="153">
        <f>SUM(M3:M265)/1000</f>
        <v>18.901872009864377</v>
      </c>
    </row>
    <row r="267" spans="1:13" ht="21" customHeight="1">
      <c r="A267" s="234"/>
      <c r="B267" s="235"/>
      <c r="C267" s="235"/>
      <c r="F267" s="236"/>
      <c r="G267" s="228"/>
      <c r="I267" s="228"/>
      <c r="J267" s="228"/>
      <c r="K267" s="228"/>
      <c r="L267" s="228"/>
      <c r="M267" s="228"/>
    </row>
    <row r="268" spans="1:13" ht="21" customHeight="1">
      <c r="A268" s="234"/>
      <c r="B268" s="235"/>
      <c r="C268" s="235"/>
      <c r="F268" s="236"/>
      <c r="G268" s="228"/>
      <c r="I268" s="228"/>
      <c r="J268" s="228"/>
      <c r="K268" s="228"/>
      <c r="L268" s="228"/>
      <c r="M268" s="228"/>
    </row>
    <row r="269" spans="1:13" ht="21" customHeight="1"/>
    <row r="270" spans="1:13" ht="21" customHeight="1"/>
    <row r="271" spans="1:13" ht="21" customHeight="1"/>
    <row r="272" spans="1:13" ht="21" customHeight="1"/>
    <row r="273" spans="1:10" ht="51" customHeight="1"/>
    <row r="274" spans="1:10">
      <c r="A274" s="8"/>
      <c r="B274" s="150"/>
      <c r="C274" s="8"/>
      <c r="D274" s="8"/>
      <c r="E274" s="8"/>
      <c r="F274" s="8"/>
      <c r="G274" s="8"/>
      <c r="H274" s="229"/>
      <c r="I274" s="229"/>
      <c r="J274" s="34"/>
    </row>
    <row r="275" spans="1:10">
      <c r="B275" s="150"/>
    </row>
    <row r="276" spans="1:10">
      <c r="B276" s="150"/>
    </row>
    <row r="281" spans="1:10">
      <c r="J281" s="151"/>
    </row>
  </sheetData>
  <mergeCells count="116">
    <mergeCell ref="A1:M1"/>
    <mergeCell ref="Y2:AC2"/>
    <mergeCell ref="A3:A6"/>
    <mergeCell ref="B3:B6"/>
    <mergeCell ref="D3:D4"/>
    <mergeCell ref="P3:P6"/>
    <mergeCell ref="D5:D6"/>
    <mergeCell ref="A7:A10"/>
    <mergeCell ref="B7:B10"/>
    <mergeCell ref="D7:D8"/>
    <mergeCell ref="P7:P10"/>
    <mergeCell ref="D9:D10"/>
    <mergeCell ref="A11:A14"/>
    <mergeCell ref="B11:B14"/>
    <mergeCell ref="D11:D12"/>
    <mergeCell ref="P11:P14"/>
    <mergeCell ref="D13:D14"/>
    <mergeCell ref="A15:A18"/>
    <mergeCell ref="B15:B18"/>
    <mergeCell ref="D15:D16"/>
    <mergeCell ref="P15:P18"/>
    <mergeCell ref="D17:D18"/>
    <mergeCell ref="A19:A22"/>
    <mergeCell ref="B19:B22"/>
    <mergeCell ref="D19:D20"/>
    <mergeCell ref="P19:P22"/>
    <mergeCell ref="D21:D22"/>
    <mergeCell ref="A23:A26"/>
    <mergeCell ref="B23:B26"/>
    <mergeCell ref="D23:D24"/>
    <mergeCell ref="P23:P26"/>
    <mergeCell ref="D25:D26"/>
    <mergeCell ref="A28:A31"/>
    <mergeCell ref="B28:B31"/>
    <mergeCell ref="D28:D29"/>
    <mergeCell ref="P28:P31"/>
    <mergeCell ref="D30:D31"/>
    <mergeCell ref="A43:A45"/>
    <mergeCell ref="F43:F45"/>
    <mergeCell ref="A46:A48"/>
    <mergeCell ref="F46:F48"/>
    <mergeCell ref="A49:A50"/>
    <mergeCell ref="F49:F50"/>
    <mergeCell ref="A33:J33"/>
    <mergeCell ref="A34:A36"/>
    <mergeCell ref="F34:F36"/>
    <mergeCell ref="A37:A39"/>
    <mergeCell ref="F37:F39"/>
    <mergeCell ref="A40:A42"/>
    <mergeCell ref="F40:F42"/>
    <mergeCell ref="A60:A62"/>
    <mergeCell ref="F60:F62"/>
    <mergeCell ref="A63:A67"/>
    <mergeCell ref="F63:F67"/>
    <mergeCell ref="A68:J68"/>
    <mergeCell ref="A69:A77"/>
    <mergeCell ref="F70:F77"/>
    <mergeCell ref="A51:A53"/>
    <mergeCell ref="F51:F53"/>
    <mergeCell ref="A54:A56"/>
    <mergeCell ref="F54:F56"/>
    <mergeCell ref="A57:A59"/>
    <mergeCell ref="F57:F59"/>
    <mergeCell ref="A101:A110"/>
    <mergeCell ref="F101:F110"/>
    <mergeCell ref="A111:A116"/>
    <mergeCell ref="F111:F116"/>
    <mergeCell ref="A117:A125"/>
    <mergeCell ref="F117:F125"/>
    <mergeCell ref="A78:A83"/>
    <mergeCell ref="F79:F83"/>
    <mergeCell ref="A84:A89"/>
    <mergeCell ref="F84:F89"/>
    <mergeCell ref="A90:A100"/>
    <mergeCell ref="F90:F100"/>
    <mergeCell ref="B154:J154"/>
    <mergeCell ref="A155:A172"/>
    <mergeCell ref="F155:F172"/>
    <mergeCell ref="R164:S164"/>
    <mergeCell ref="A173:A190"/>
    <mergeCell ref="F173:F190"/>
    <mergeCell ref="A126:A131"/>
    <mergeCell ref="F126:F131"/>
    <mergeCell ref="A132:A137"/>
    <mergeCell ref="F132:F137"/>
    <mergeCell ref="A138:A153"/>
    <mergeCell ref="F138:F140"/>
    <mergeCell ref="F141:F153"/>
    <mergeCell ref="A227:A234"/>
    <mergeCell ref="F227:F234"/>
    <mergeCell ref="A235:A242"/>
    <mergeCell ref="F235:F242"/>
    <mergeCell ref="A243:A252"/>
    <mergeCell ref="F243:F252"/>
    <mergeCell ref="A191:A210"/>
    <mergeCell ref="F191:F210"/>
    <mergeCell ref="A211:A218"/>
    <mergeCell ref="F211:F218"/>
    <mergeCell ref="A219:A226"/>
    <mergeCell ref="F219:F226"/>
    <mergeCell ref="I267:I268"/>
    <mergeCell ref="J267:J268"/>
    <mergeCell ref="K267:K268"/>
    <mergeCell ref="L267:L268"/>
    <mergeCell ref="M267:M268"/>
    <mergeCell ref="H274:I274"/>
    <mergeCell ref="A253:A260"/>
    <mergeCell ref="F253:F260"/>
    <mergeCell ref="A261:A265"/>
    <mergeCell ref="F261:F265"/>
    <mergeCell ref="A266:J266"/>
    <mergeCell ref="A267:A268"/>
    <mergeCell ref="B267:B268"/>
    <mergeCell ref="C267:C268"/>
    <mergeCell ref="F267:F268"/>
    <mergeCell ref="G267:G26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Abstract</vt:lpstr>
      <vt:lpstr>Excavation</vt:lpstr>
      <vt:lpstr>Pcc &amp; Rcc</vt:lpstr>
      <vt:lpstr>Shuttering</vt:lpstr>
      <vt:lpstr>Steel</vt:lpstr>
      <vt:lpstr>Abstract!Print_Area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recomaxgoa24@gmail.com</dc:creator>
  <cp:lastModifiedBy>recomaxgoa24@gmail.com</cp:lastModifiedBy>
  <cp:lastPrinted>2026-02-03T06:14:08Z</cp:lastPrinted>
  <dcterms:created xsi:type="dcterms:W3CDTF">2025-11-25T00:43:55Z</dcterms:created>
  <dcterms:modified xsi:type="dcterms:W3CDTF">2026-02-03T06:19:15Z</dcterms:modified>
</cp:coreProperties>
</file>